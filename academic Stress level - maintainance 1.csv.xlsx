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F:\"/>
    </mc:Choice>
  </mc:AlternateContent>
  <xr:revisionPtr revIDLastSave="0" documentId="13_ncr:1_{8B43AF16-1F29-4FC0-A51C-F5BFDF3F4757}" xr6:coauthVersionLast="47" xr6:coauthVersionMax="47" xr10:uidLastSave="{00000000-0000-0000-0000-000000000000}"/>
  <bookViews>
    <workbookView xWindow="-90" yWindow="-90" windowWidth="19380" windowHeight="11460" firstSheet="2" activeTab="4" xr2:uid="{622B21AF-1549-44DD-B81C-4558688D6AEC}"/>
  </bookViews>
  <sheets>
    <sheet name="academic Stress level - maintai" sheetId="1" r:id="rId1"/>
    <sheet name="Insight " sheetId="2" r:id="rId2"/>
    <sheet name="Dashbord" sheetId="3" r:id="rId3"/>
    <sheet name="Date format" sheetId="4" r:id="rId4"/>
    <sheet name="Raw data" sheetId="6" r:id="rId5"/>
    <sheet name="Sheet1" sheetId="9" r:id="rId6"/>
    <sheet name="app" sheetId="10" r:id="rId7"/>
  </sheets>
  <definedNames>
    <definedName name="_xlnm._FilterDatabase" localSheetId="0" hidden="1">'academic Stress level - maintai'!$A$1:$I$141</definedName>
    <definedName name="_xlnm._FilterDatabase" localSheetId="4" hidden="1">'Raw data'!$A$1:$I$141</definedName>
    <definedName name="_xlchart.v1.0" hidden="1">Dashbord!$D$4:$G$4</definedName>
    <definedName name="_xlchart.v1.1" hidden="1">Dashbord!$D$5:$G$5</definedName>
    <definedName name="_xlchart.v1.2" hidden="1">Dashbord!$D$6:$G$6</definedName>
    <definedName name="_xlchart.v1.3" hidden="1">Dashbord!$D$7:$G$7</definedName>
    <definedName name="_xlcn.WorksheetConnection_RawdataAI1" hidden="1">'Raw data'!$A:$I</definedName>
    <definedName name="Slicer_Peer_pressure">#N/A</definedName>
    <definedName name="Slicer_What_coping_strategy_you_use_as_a_student?">#N/A</definedName>
    <definedName name="Slicer_Your_Academic_Stage">#N/A</definedName>
  </definedNames>
  <calcPr calcId="191029"/>
  <pivotCaches>
    <pivotCache cacheId="0" r:id="rId8"/>
  </pivotCaches>
  <extLst>
    <ext xmlns:x14="http://schemas.microsoft.com/office/spreadsheetml/2009/9/main" uri="{876F7934-8845-4945-9796-88D515C7AA90}">
      <x14:pivotCaches>
        <pivotCache cacheId="1" r:id="rId9"/>
      </x14:pivotCaches>
    </ex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Raw data!$A:$I"/>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7" i="10" l="1"/>
  <c r="D7" i="10"/>
  <c r="C7" i="10"/>
  <c r="B148" i="6"/>
  <c r="B147" i="6"/>
  <c r="B146" i="6"/>
  <c r="I144" i="6"/>
  <c r="H144" i="6"/>
  <c r="D144" i="6"/>
  <c r="C144" i="6"/>
  <c r="I143" i="6"/>
  <c r="H143" i="6"/>
  <c r="D143" i="6"/>
  <c r="C143" i="6"/>
  <c r="E14" i="4"/>
  <c r="C21" i="4" s="1"/>
  <c r="C18" i="4"/>
  <c r="E2" i="4"/>
  <c r="E1" i="4"/>
  <c r="C17" i="4"/>
  <c r="C19" i="4" s="1"/>
  <c r="F3" i="4"/>
  <c r="D5" i="3"/>
  <c r="D6" i="3"/>
  <c r="D7" i="3"/>
  <c r="G7" i="3"/>
  <c r="G6" i="3"/>
  <c r="G5" i="3"/>
  <c r="F6" i="3"/>
  <c r="F7" i="3"/>
  <c r="F5" i="3"/>
  <c r="E6" i="3"/>
  <c r="E7" i="3"/>
  <c r="E5" i="3"/>
  <c r="C6" i="3"/>
  <c r="C7" i="3"/>
  <c r="C5" i="3"/>
  <c r="B148" i="1"/>
  <c r="B147" i="1"/>
  <c r="B146" i="1"/>
  <c r="I144" i="1"/>
  <c r="H144" i="1"/>
  <c r="D144" i="1"/>
  <c r="C144" i="1"/>
  <c r="I143" i="1"/>
  <c r="H143" i="1"/>
  <c r="D143" i="1"/>
  <c r="C14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499FC09-5FB0-4731-848E-987382D0AC1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B9C9EA1-907C-46AF-B369-4E7FB6C10BFE}" name="WorksheetConnection_Raw data!$A:$I" type="102" refreshedVersion="8" minRefreshableVersion="5">
    <extLst>
      <ext xmlns:x15="http://schemas.microsoft.com/office/spreadsheetml/2010/11/main" uri="{DE250136-89BD-433C-8126-D09CA5730AF9}">
        <x15:connection id="Range" autoDelete="1">
          <x15:rangePr sourceName="_xlcn.WorksheetConnection_RawdataAI1"/>
        </x15:connection>
      </ext>
    </extLst>
  </connection>
</connections>
</file>

<file path=xl/sharedStrings.xml><?xml version="1.0" encoding="utf-8"?>
<sst xmlns="http://schemas.openxmlformats.org/spreadsheetml/2006/main" count="1248" uniqueCount="90">
  <si>
    <t>Timestamp</t>
  </si>
  <si>
    <t>Your Academic Stage</t>
  </si>
  <si>
    <t>Peer pressure</t>
  </si>
  <si>
    <t>Academic pressure from your home</t>
  </si>
  <si>
    <t>Study Environment</t>
  </si>
  <si>
    <t>What coping strategy you use as a student?</t>
  </si>
  <si>
    <t>Do you have any bad habits like smoking, drinking on a daily basis?</t>
  </si>
  <si>
    <t>What would you rate the academic  competition in your student life</t>
  </si>
  <si>
    <t xml:space="preserve">Rate your academic stress index </t>
  </si>
  <si>
    <t>undergraduate</t>
  </si>
  <si>
    <t>Noisy</t>
  </si>
  <si>
    <t>Analyze the situation and handle it with intellect</t>
  </si>
  <si>
    <t>No</t>
  </si>
  <si>
    <t>Peaceful</t>
  </si>
  <si>
    <t>Social support (friends, family)</t>
  </si>
  <si>
    <t>disrupted</t>
  </si>
  <si>
    <t>Emotional breakdown (crying a lot)</t>
  </si>
  <si>
    <t>prefer not to say</t>
  </si>
  <si>
    <t>Yes</t>
  </si>
  <si>
    <t>high school</t>
  </si>
  <si>
    <t>post-graduate</t>
  </si>
  <si>
    <t>Rate of pressure in different acadamic stage</t>
  </si>
  <si>
    <t>Relation between peer pressure and stress</t>
  </si>
  <si>
    <t>Relation between home pressure and stress</t>
  </si>
  <si>
    <t>Relation between bad habit and study environment</t>
  </si>
  <si>
    <t>Relation between Academic Stage and stress</t>
  </si>
  <si>
    <t>Relation between Academic competition and stress</t>
  </si>
  <si>
    <t xml:space="preserve">Relation between bad habit,academic pressure and peer pressure </t>
  </si>
  <si>
    <t>which is most common coping straties</t>
  </si>
  <si>
    <t>does relying on emotional breakdown correlate with higher stress</t>
  </si>
  <si>
    <t>x</t>
  </si>
  <si>
    <t>which coping stratergies associate with lower academic stress level</t>
  </si>
  <si>
    <r>
      <rPr>
        <b/>
        <sz val="20"/>
        <color theme="1"/>
        <rFont val="Calibri"/>
        <family val="2"/>
        <scheme val="minor"/>
      </rPr>
      <t>10 insight to get from dataset</t>
    </r>
    <r>
      <rPr>
        <sz val="11"/>
        <color theme="1"/>
        <rFont val="Calibri"/>
        <family val="2"/>
        <scheme val="minor"/>
      </rPr>
      <t xml:space="preserve"> </t>
    </r>
  </si>
  <si>
    <t>Average</t>
  </si>
  <si>
    <t>Sum</t>
  </si>
  <si>
    <t>NA</t>
  </si>
  <si>
    <t xml:space="preserve">Total student </t>
  </si>
  <si>
    <t>Average Peer Pressure</t>
  </si>
  <si>
    <t>Average Compition pressure</t>
  </si>
  <si>
    <t xml:space="preserve"> Average  stress </t>
  </si>
  <si>
    <t xml:space="preserve">Average Home  pressure </t>
  </si>
  <si>
    <t>Date</t>
  </si>
  <si>
    <t>"7"</t>
  </si>
  <si>
    <t>"07"</t>
  </si>
  <si>
    <t>Fri</t>
  </si>
  <si>
    <t>Friday</t>
  </si>
  <si>
    <t>Day</t>
  </si>
  <si>
    <t>d</t>
  </si>
  <si>
    <t>dd</t>
  </si>
  <si>
    <t>ddd</t>
  </si>
  <si>
    <t>dddd</t>
  </si>
  <si>
    <t>"6"</t>
  </si>
  <si>
    <t>"06"</t>
  </si>
  <si>
    <t>Dec</t>
  </si>
  <si>
    <t>December</t>
  </si>
  <si>
    <t>Month</t>
  </si>
  <si>
    <t>m</t>
  </si>
  <si>
    <t>mm</t>
  </si>
  <si>
    <t>mmm</t>
  </si>
  <si>
    <t>mmmm</t>
  </si>
  <si>
    <t>"25"</t>
  </si>
  <si>
    <t>"2025"</t>
  </si>
  <si>
    <t>Year</t>
  </si>
  <si>
    <t>yy</t>
  </si>
  <si>
    <t>yyyy</t>
  </si>
  <si>
    <t xml:space="preserve"> </t>
  </si>
  <si>
    <t xml:space="preserve">Date Difference </t>
  </si>
  <si>
    <t>Project start date</t>
  </si>
  <si>
    <t xml:space="preserve">Project End date </t>
  </si>
  <si>
    <t xml:space="preserve">Number Of days </t>
  </si>
  <si>
    <t>Big date minus small date</t>
  </si>
  <si>
    <t xml:space="preserve">How many Working days </t>
  </si>
  <si>
    <t xml:space="preserve">how many holidays are their </t>
  </si>
  <si>
    <t>ctrl+:</t>
  </si>
  <si>
    <t>TODAY()</t>
  </si>
  <si>
    <t>NOW()</t>
  </si>
  <si>
    <t>oman</t>
  </si>
  <si>
    <t>Gandhi jayanti</t>
  </si>
  <si>
    <t>What is end of month(Date)</t>
  </si>
  <si>
    <t>Today date</t>
  </si>
  <si>
    <t>Sum of Peer pressure</t>
  </si>
  <si>
    <t>Row Labels</t>
  </si>
  <si>
    <t>Grand Total</t>
  </si>
  <si>
    <t>Sum of Academic pressure from your home</t>
  </si>
  <si>
    <t>Sum of Rate your academic stress index</t>
  </si>
  <si>
    <t xml:space="preserve">Select the environment </t>
  </si>
  <si>
    <t>Average of peer pressure</t>
  </si>
  <si>
    <t>Average of rate your academic stress index</t>
  </si>
  <si>
    <t>Average ofAcademic pressure from your home</t>
  </si>
  <si>
    <t>AVERAGEIF('Raw data'!E:E,app!D5,'Raw data'!C:C)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</si>
</sst>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0"/>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0" fontId="0" fillId="0" borderId="0" xfId="0" applyAlignment="1">
      <alignment wrapText="1"/>
    </xf>
    <xf numFmtId="22" fontId="0" fillId="0" borderId="0" xfId="0" applyNumberFormat="1" applyAlignment="1">
      <alignment wrapText="1"/>
    </xf>
    <xf numFmtId="0" fontId="0" fillId="0" borderId="10" xfId="0" applyBorder="1"/>
    <xf numFmtId="0" fontId="0" fillId="0" borderId="10" xfId="0" applyBorder="1" applyAlignment="1">
      <alignment wrapText="1"/>
    </xf>
    <xf numFmtId="2" fontId="0" fillId="0" borderId="0" xfId="0" applyNumberFormat="1"/>
    <xf numFmtId="0" fontId="0" fillId="0" borderId="13" xfId="0" applyBorder="1" applyAlignment="1">
      <alignment wrapText="1"/>
    </xf>
    <xf numFmtId="0" fontId="13" fillId="33" borderId="13" xfId="0" applyFont="1" applyFill="1" applyBorder="1" applyAlignment="1">
      <alignment wrapText="1"/>
    </xf>
    <xf numFmtId="0" fontId="13" fillId="0" borderId="0" xfId="0" applyFont="1" applyAlignment="1">
      <alignment horizontal="center" wrapText="1"/>
    </xf>
    <xf numFmtId="0" fontId="0" fillId="0" borderId="0" xfId="0" applyAlignment="1">
      <alignment horizontal="center" wrapText="1"/>
    </xf>
    <xf numFmtId="14" fontId="0" fillId="0" borderId="0" xfId="0" applyNumberFormat="1"/>
    <xf numFmtId="18" fontId="0" fillId="0" borderId="0" xfId="0" applyNumberFormat="1"/>
    <xf numFmtId="22" fontId="0" fillId="0" borderId="0" xfId="0" applyNumberFormat="1"/>
    <xf numFmtId="22" fontId="0" fillId="0" borderId="10" xfId="0" applyNumberFormat="1" applyBorder="1"/>
    <xf numFmtId="16"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11" xfId="0" applyBorder="1" applyAlignment="1">
      <alignment horizontal="center"/>
    </xf>
    <xf numFmtId="0" fontId="0" fillId="0" borderId="12" xfId="0" applyBorder="1" applyAlignment="1">
      <alignment horizontal="center"/>
    </xf>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of Pressure and Stress amoung student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Dashbord!$B$5</c:f>
              <c:strCache>
                <c:ptCount val="1"/>
                <c:pt idx="0">
                  <c:v>undergraduate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Dashbord!$D$4:$G$4</c:f>
              <c:strCache>
                <c:ptCount val="4"/>
                <c:pt idx="0">
                  <c:v>Average Peer Pressure</c:v>
                </c:pt>
                <c:pt idx="1">
                  <c:v>Average Home  pressure </c:v>
                </c:pt>
                <c:pt idx="2">
                  <c:v>Average Compition pressure</c:v>
                </c:pt>
                <c:pt idx="3">
                  <c:v> Average  stress </c:v>
                </c:pt>
              </c:strCache>
            </c:strRef>
          </c:cat>
          <c:val>
            <c:numRef>
              <c:f>Dashbord!$D$5:$G$5</c:f>
              <c:numCache>
                <c:formatCode>General</c:formatCode>
                <c:ptCount val="4"/>
                <c:pt idx="0">
                  <c:v>3.12</c:v>
                </c:pt>
                <c:pt idx="1">
                  <c:v>3.05</c:v>
                </c:pt>
                <c:pt idx="2">
                  <c:v>3.52</c:v>
                </c:pt>
                <c:pt idx="3">
                  <c:v>3.69</c:v>
                </c:pt>
              </c:numCache>
            </c:numRef>
          </c:val>
          <c:extLst>
            <c:ext xmlns:c16="http://schemas.microsoft.com/office/drawing/2014/chart" uri="{C3380CC4-5D6E-409C-BE32-E72D297353CC}">
              <c16:uniqueId val="{00000000-220B-4E0A-AEB8-750F691D03B1}"/>
            </c:ext>
          </c:extLst>
        </c:ser>
        <c:ser>
          <c:idx val="1"/>
          <c:order val="1"/>
          <c:tx>
            <c:strRef>
              <c:f>Dashbord!$B$6</c:f>
              <c:strCache>
                <c:ptCount val="1"/>
                <c:pt idx="0">
                  <c:v>high school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Dashbord!$D$4:$G$4</c:f>
              <c:strCache>
                <c:ptCount val="4"/>
                <c:pt idx="0">
                  <c:v>Average Peer Pressure</c:v>
                </c:pt>
                <c:pt idx="1">
                  <c:v>Average Home  pressure </c:v>
                </c:pt>
                <c:pt idx="2">
                  <c:v>Average Compition pressure</c:v>
                </c:pt>
                <c:pt idx="3">
                  <c:v> Average  stress </c:v>
                </c:pt>
              </c:strCache>
            </c:strRef>
          </c:cat>
          <c:val>
            <c:numRef>
              <c:f>Dashbord!$D$6:$G$6</c:f>
              <c:numCache>
                <c:formatCode>General</c:formatCode>
                <c:ptCount val="4"/>
                <c:pt idx="0">
                  <c:v>2.93</c:v>
                </c:pt>
                <c:pt idx="1">
                  <c:v>3.55</c:v>
                </c:pt>
                <c:pt idx="2">
                  <c:v>3.38</c:v>
                </c:pt>
                <c:pt idx="3">
                  <c:v>3.83</c:v>
                </c:pt>
              </c:numCache>
            </c:numRef>
          </c:val>
          <c:extLst>
            <c:ext xmlns:c16="http://schemas.microsoft.com/office/drawing/2014/chart" uri="{C3380CC4-5D6E-409C-BE32-E72D297353CC}">
              <c16:uniqueId val="{00000001-220B-4E0A-AEB8-750F691D03B1}"/>
            </c:ext>
          </c:extLst>
        </c:ser>
        <c:ser>
          <c:idx val="2"/>
          <c:order val="2"/>
          <c:tx>
            <c:strRef>
              <c:f>Dashbord!$B$7</c:f>
              <c:strCache>
                <c:ptCount val="1"/>
                <c:pt idx="0">
                  <c:v>post-graduate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Dashbord!$D$4:$G$4</c:f>
              <c:strCache>
                <c:ptCount val="4"/>
                <c:pt idx="0">
                  <c:v>Average Peer Pressure</c:v>
                </c:pt>
                <c:pt idx="1">
                  <c:v>Average Home  pressure </c:v>
                </c:pt>
                <c:pt idx="2">
                  <c:v>Average Compition pressure</c:v>
                </c:pt>
                <c:pt idx="3">
                  <c:v> Average  stress </c:v>
                </c:pt>
              </c:strCache>
            </c:strRef>
          </c:cat>
          <c:val>
            <c:numRef>
              <c:f>Dashbord!$D$7:$G$7</c:f>
              <c:numCache>
                <c:formatCode>General</c:formatCode>
                <c:ptCount val="4"/>
                <c:pt idx="0">
                  <c:v>3</c:v>
                </c:pt>
                <c:pt idx="1">
                  <c:v>3.36</c:v>
                </c:pt>
                <c:pt idx="2">
                  <c:v>3.36</c:v>
                </c:pt>
                <c:pt idx="3">
                  <c:v>3.73</c:v>
                </c:pt>
              </c:numCache>
            </c:numRef>
          </c:val>
          <c:extLst>
            <c:ext xmlns:c16="http://schemas.microsoft.com/office/drawing/2014/chart" uri="{C3380CC4-5D6E-409C-BE32-E72D297353CC}">
              <c16:uniqueId val="{00000002-220B-4E0A-AEB8-750F691D03B1}"/>
            </c:ext>
          </c:extLst>
        </c:ser>
        <c:dLbls>
          <c:dLblPos val="outEnd"/>
          <c:showLegendKey val="0"/>
          <c:showVal val="1"/>
          <c:showCatName val="0"/>
          <c:showSerName val="0"/>
          <c:showPercent val="0"/>
          <c:showBubbleSize val="0"/>
        </c:dLbls>
        <c:gapWidth val="219"/>
        <c:overlap val="-27"/>
        <c:axId val="91853855"/>
        <c:axId val="91851935"/>
      </c:barChart>
      <c:catAx>
        <c:axId val="91853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51935"/>
        <c:crosses val="autoZero"/>
        <c:auto val="1"/>
        <c:lblAlgn val="ctr"/>
        <c:lblOffset val="100"/>
        <c:noMultiLvlLbl val="0"/>
      </c:catAx>
      <c:valAx>
        <c:axId val="91851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538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Dashbord!$C$4</c:f>
              <c:strCache>
                <c:ptCount val="1"/>
                <c:pt idx="0">
                  <c:v>Total student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FF0-425C-952E-CA03EC7868C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FF0-425C-952E-CA03EC7868C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AFF0-425C-952E-CA03EC7868C2}"/>
              </c:ext>
            </c:extLst>
          </c:dPt>
          <c:dLbls>
            <c:dLbl>
              <c:idx val="0"/>
              <c:layout>
                <c:manualLayout>
                  <c:x val="0.18888888888888888"/>
                  <c:y val="8.333333333333324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FF0-425C-952E-CA03EC7868C2}"/>
                </c:ext>
              </c:extLst>
            </c:dLbl>
            <c:dLbl>
              <c:idx val="1"/>
              <c:layout>
                <c:manualLayout>
                  <c:x val="-0.18333333333333332"/>
                  <c:y val="0.1203703703703703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FF0-425C-952E-CA03EC7868C2}"/>
                </c:ext>
              </c:extLst>
            </c:dLbl>
            <c:dLbl>
              <c:idx val="2"/>
              <c:layout>
                <c:manualLayout>
                  <c:x val="-0.19166666666666674"/>
                  <c:y val="-9.722222222222223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AFF0-425C-952E-CA03EC7868C2}"/>
                </c:ext>
              </c:extLst>
            </c:dLbl>
            <c:spPr>
              <a:solidFill>
                <a:sysClr val="window" lastClr="FFFFFF"/>
              </a:solidFill>
              <a:ln>
                <a:solidFill>
                  <a:sysClr val="windowText" lastClr="000000">
                    <a:lumMod val="25000"/>
                    <a:lumOff val="75000"/>
                  </a:sysClr>
                </a:solidFill>
              </a:ln>
              <a:effectLst>
                <a:innerShdw blurRad="114300">
                  <a:prstClr val="black"/>
                </a:inn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Dashbord!$B$5:$B$7</c:f>
              <c:strCache>
                <c:ptCount val="3"/>
                <c:pt idx="0">
                  <c:v>undergraduate</c:v>
                </c:pt>
                <c:pt idx="1">
                  <c:v>high school</c:v>
                </c:pt>
                <c:pt idx="2">
                  <c:v>post-graduate</c:v>
                </c:pt>
              </c:strCache>
            </c:strRef>
          </c:cat>
          <c:val>
            <c:numRef>
              <c:f>Dashbord!$C$5:$C$7</c:f>
              <c:numCache>
                <c:formatCode>General</c:formatCode>
                <c:ptCount val="3"/>
                <c:pt idx="0">
                  <c:v>100</c:v>
                </c:pt>
                <c:pt idx="1">
                  <c:v>29</c:v>
                </c:pt>
                <c:pt idx="2">
                  <c:v>11</c:v>
                </c:pt>
              </c:numCache>
            </c:numRef>
          </c:val>
          <c:extLst>
            <c:ext xmlns:c16="http://schemas.microsoft.com/office/drawing/2014/chart" uri="{C3380CC4-5D6E-409C-BE32-E72D297353CC}">
              <c16:uniqueId val="{00000000-AFF0-425C-952E-CA03EC7868C2}"/>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Dashbord!$D$4</c:f>
              <c:strCache>
                <c:ptCount val="1"/>
                <c:pt idx="0">
                  <c:v>Average Peer Pressure</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C5B-45CE-8446-7745728D7B6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C5B-45CE-8446-7745728D7B6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C5B-45CE-8446-7745728D7B63}"/>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(Dashbord!$B$5,Dashbord!$B$6,Dashbord!$B$7)</c:f>
              <c:strCache>
                <c:ptCount val="3"/>
                <c:pt idx="0">
                  <c:v>undergraduate</c:v>
                </c:pt>
                <c:pt idx="1">
                  <c:v>high school</c:v>
                </c:pt>
                <c:pt idx="2">
                  <c:v>post-graduate</c:v>
                </c:pt>
              </c:strCache>
            </c:strRef>
          </c:cat>
          <c:val>
            <c:numRef>
              <c:f>(Dashbord!$D$5,Dashbord!$D$6,Dashbord!$D$7)</c:f>
              <c:numCache>
                <c:formatCode>General</c:formatCode>
                <c:ptCount val="3"/>
                <c:pt idx="0">
                  <c:v>3.12</c:v>
                </c:pt>
                <c:pt idx="1">
                  <c:v>2.93</c:v>
                </c:pt>
                <c:pt idx="2">
                  <c:v>3</c:v>
                </c:pt>
              </c:numCache>
            </c:numRef>
          </c:val>
          <c:extLst>
            <c:ext xmlns:c16="http://schemas.microsoft.com/office/drawing/2014/chart" uri="{C3380CC4-5D6E-409C-BE32-E72D297353CC}">
              <c16:uniqueId val="{00000000-918E-4A5C-8DC6-37794BE725B2}"/>
            </c:ext>
          </c:extLst>
        </c:ser>
        <c:dLbls>
          <c:dLblPos val="ctr"/>
          <c:showLegendKey val="0"/>
          <c:showVal val="1"/>
          <c:showCatName val="0"/>
          <c:showSerName val="0"/>
          <c:showPercent val="0"/>
          <c:showBubbleSize val="0"/>
          <c:showLeaderLines val="1"/>
        </c:dLbls>
      </c:pie3DChart>
      <c:spPr>
        <a:noFill/>
        <a:ln>
          <a:solidFill>
            <a:schemeClr val="bg1"/>
          </a:solid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50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[academic Stress level - maintainance 1.csv.xlsx]Sheet1!PivotTable8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c:f>
              <c:strCache>
                <c:ptCount val="1"/>
                <c:pt idx="0">
                  <c:v>Sum of Peer pressure</c:v>
                </c:pt>
              </c:strCache>
            </c:strRef>
          </c:tx>
          <c:spPr>
            <a:solidFill>
              <a:schemeClr val="accent1"/>
            </a:solidFill>
            <a:ln>
              <a:noFill/>
            </a:ln>
            <a:effectLst/>
          </c:spPr>
          <c:invertIfNegative val="0"/>
          <c:cat>
            <c:strRef>
              <c:f>Sheet1!$A$2:$A$5</c:f>
              <c:strCache>
                <c:ptCount val="3"/>
                <c:pt idx="0">
                  <c:v>disrupted</c:v>
                </c:pt>
                <c:pt idx="1">
                  <c:v>Noisy</c:v>
                </c:pt>
                <c:pt idx="2">
                  <c:v>Peaceful</c:v>
                </c:pt>
              </c:strCache>
            </c:strRef>
          </c:cat>
          <c:val>
            <c:numRef>
              <c:f>Sheet1!$B$2:$B$5</c:f>
              <c:numCache>
                <c:formatCode>General</c:formatCode>
                <c:ptCount val="3"/>
                <c:pt idx="0">
                  <c:v>22</c:v>
                </c:pt>
                <c:pt idx="1">
                  <c:v>4</c:v>
                </c:pt>
                <c:pt idx="2">
                  <c:v>29</c:v>
                </c:pt>
              </c:numCache>
            </c:numRef>
          </c:val>
          <c:extLst>
            <c:ext xmlns:c16="http://schemas.microsoft.com/office/drawing/2014/chart" uri="{C3380CC4-5D6E-409C-BE32-E72D297353CC}">
              <c16:uniqueId val="{00000007-893F-4831-9E86-78A2AB1CF9B4}"/>
            </c:ext>
          </c:extLst>
        </c:ser>
        <c:ser>
          <c:idx val="1"/>
          <c:order val="1"/>
          <c:tx>
            <c:strRef>
              <c:f>Sheet1!$C$1</c:f>
              <c:strCache>
                <c:ptCount val="1"/>
                <c:pt idx="0">
                  <c:v>Sum of Academic pressure from your home</c:v>
                </c:pt>
              </c:strCache>
            </c:strRef>
          </c:tx>
          <c:spPr>
            <a:solidFill>
              <a:schemeClr val="accent2"/>
            </a:solidFill>
            <a:ln>
              <a:noFill/>
            </a:ln>
            <a:effectLst/>
          </c:spPr>
          <c:invertIfNegative val="0"/>
          <c:cat>
            <c:strRef>
              <c:f>Sheet1!$A$2:$A$5</c:f>
              <c:strCache>
                <c:ptCount val="3"/>
                <c:pt idx="0">
                  <c:v>disrupted</c:v>
                </c:pt>
                <c:pt idx="1">
                  <c:v>Noisy</c:v>
                </c:pt>
                <c:pt idx="2">
                  <c:v>Peaceful</c:v>
                </c:pt>
              </c:strCache>
            </c:strRef>
          </c:cat>
          <c:val>
            <c:numRef>
              <c:f>Sheet1!$C$2:$C$5</c:f>
              <c:numCache>
                <c:formatCode>General</c:formatCode>
                <c:ptCount val="3"/>
                <c:pt idx="0">
                  <c:v>20</c:v>
                </c:pt>
                <c:pt idx="1">
                  <c:v>6</c:v>
                </c:pt>
                <c:pt idx="2">
                  <c:v>35</c:v>
                </c:pt>
              </c:numCache>
            </c:numRef>
          </c:val>
          <c:extLst>
            <c:ext xmlns:c16="http://schemas.microsoft.com/office/drawing/2014/chart" uri="{C3380CC4-5D6E-409C-BE32-E72D297353CC}">
              <c16:uniqueId val="{00000008-893F-4831-9E86-78A2AB1CF9B4}"/>
            </c:ext>
          </c:extLst>
        </c:ser>
        <c:ser>
          <c:idx val="2"/>
          <c:order val="2"/>
          <c:tx>
            <c:strRef>
              <c:f>Sheet1!$D$1</c:f>
              <c:strCache>
                <c:ptCount val="1"/>
                <c:pt idx="0">
                  <c:v>Sum of Rate your academic stress index</c:v>
                </c:pt>
              </c:strCache>
            </c:strRef>
          </c:tx>
          <c:spPr>
            <a:solidFill>
              <a:schemeClr val="accent3"/>
            </a:solidFill>
            <a:ln>
              <a:noFill/>
            </a:ln>
            <a:effectLst/>
          </c:spPr>
          <c:invertIfNegative val="0"/>
          <c:cat>
            <c:strRef>
              <c:f>Sheet1!$A$2:$A$5</c:f>
              <c:strCache>
                <c:ptCount val="3"/>
                <c:pt idx="0">
                  <c:v>disrupted</c:v>
                </c:pt>
                <c:pt idx="1">
                  <c:v>Noisy</c:v>
                </c:pt>
                <c:pt idx="2">
                  <c:v>Peaceful</c:v>
                </c:pt>
              </c:strCache>
            </c:strRef>
          </c:cat>
          <c:val>
            <c:numRef>
              <c:f>Sheet1!$D$2:$D$5</c:f>
              <c:numCache>
                <c:formatCode>General</c:formatCode>
                <c:ptCount val="3"/>
                <c:pt idx="0">
                  <c:v>30</c:v>
                </c:pt>
                <c:pt idx="1">
                  <c:v>7</c:v>
                </c:pt>
                <c:pt idx="2">
                  <c:v>40</c:v>
                </c:pt>
              </c:numCache>
            </c:numRef>
          </c:val>
          <c:extLst>
            <c:ext xmlns:c16="http://schemas.microsoft.com/office/drawing/2014/chart" uri="{C3380CC4-5D6E-409C-BE32-E72D297353CC}">
              <c16:uniqueId val="{00000009-893F-4831-9E86-78A2AB1CF9B4}"/>
            </c:ext>
          </c:extLst>
        </c:ser>
        <c:dLbls>
          <c:showLegendKey val="0"/>
          <c:showVal val="0"/>
          <c:showCatName val="0"/>
          <c:showSerName val="0"/>
          <c:showPercent val="0"/>
          <c:showBubbleSize val="0"/>
        </c:dLbls>
        <c:gapWidth val="219"/>
        <c:overlap val="-27"/>
        <c:axId val="612134352"/>
        <c:axId val="612137712"/>
      </c:barChart>
      <c:catAx>
        <c:axId val="612134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137712"/>
        <c:crosses val="autoZero"/>
        <c:auto val="1"/>
        <c:lblAlgn val="ctr"/>
        <c:lblOffset val="100"/>
        <c:noMultiLvlLbl val="0"/>
      </c:catAx>
      <c:valAx>
        <c:axId val="612137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134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_xlchart.v1.0</cx:f>
      </cx:strDim>
      <cx:numDim type="size">
        <cx:f dir="row">_xlchart.v1.1</cx:f>
      </cx:numDim>
    </cx:data>
    <cx:data id="1">
      <cx:strDim type="cat">
        <cx:f dir="row">_xlchart.v1.0</cx:f>
      </cx:strDim>
      <cx:numDim type="size">
        <cx:f dir="row">_xlchart.v1.2</cx:f>
      </cx:numDim>
    </cx:data>
    <cx:data id="2">
      <cx:strDim type="cat">
        <cx:f dir="row">_xlchart.v1.0</cx:f>
      </cx:strDim>
      <cx:numDim type="size">
        <cx:f dir="row">_xlchart.v1.3</cx:f>
      </cx:numDim>
    </cx:data>
  </cx:chartData>
  <cx:chart>
    <cx:plotArea>
      <cx:plotAreaRegion>
        <cx:series layoutId="treemap" uniqueId="{329EA0B7-65B1-4965-BD6D-67EC87F4F6C7}" formatIdx="0">
          <cx:dataLabels pos="inEnd">
            <cx:txPr>
              <a:bodyPr spcFirstLastPara="1" vertOverflow="ellipsis" horzOverflow="overflow" wrap="square" lIns="0" tIns="0" rIns="0" bIns="0" anchor="ctr" anchorCtr="1"/>
              <a:lstStyle/>
              <a:p>
                <a:pPr algn="ctr" rtl="0">
                  <a:defRPr sz="1400" b="1"/>
                </a:pPr>
                <a:endParaRPr lang="en-US" sz="1400" b="1" i="0" u="none" strike="noStrike" baseline="0">
                  <a:solidFill>
                    <a:sysClr val="window" lastClr="FFFFFF"/>
                  </a:solidFill>
                  <a:latin typeface="Calibri" panose="020F0502020204030204"/>
                </a:endParaRPr>
              </a:p>
            </cx:txPr>
            <cx:visibility seriesName="0" categoryName="1" value="1"/>
            <cx:separator>, </cx:separator>
          </cx:dataLabels>
          <cx:dataId val="0"/>
          <cx:layoutPr>
            <cx:parentLabelLayout val="overlapping"/>
          </cx:layoutPr>
        </cx:series>
        <cx:series layoutId="treemap" hidden="1" uniqueId="{8CE37C70-9F05-4194-BC70-79457F815DD7}" formatIdx="1">
          <cx:dataLabels pos="inEnd">
            <cx:visibility seriesName="0" categoryName="1" value="0"/>
          </cx:dataLabels>
          <cx:dataId val="1"/>
          <cx:layoutPr>
            <cx:parentLabelLayout val="overlapping"/>
          </cx:layoutPr>
        </cx:series>
        <cx:series layoutId="treemap" hidden="1" uniqueId="{A0DFF29D-A133-4849-9241-12D0CA041BD1}" formatIdx="2">
          <cx:dataLabels pos="inEnd">
            <cx:visibility seriesName="0" categoryName="1" value="0"/>
          </cx:dataLabels>
          <cx:dataId val="2"/>
          <cx:layoutPr>
            <cx:parentLabelLayout val="overlapping"/>
          </cx:layoutPr>
        </cx:series>
      </cx:plotAreaRegion>
    </cx:plotArea>
  </cx:chart>
  <cx:spPr>
    <a:ln w="12700">
      <a:solidFill>
        <a:schemeClr val="accent5">
          <a:lumMod val="50000"/>
        </a:schemeClr>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528428</xdr:colOff>
      <xdr:row>2</xdr:row>
      <xdr:rowOff>95471</xdr:rowOff>
    </xdr:from>
    <xdr:to>
      <xdr:col>7</xdr:col>
      <xdr:colOff>137192</xdr:colOff>
      <xdr:row>7</xdr:row>
      <xdr:rowOff>102132</xdr:rowOff>
    </xdr:to>
    <xdr:sp macro="" textlink="">
      <xdr:nvSpPr>
        <xdr:cNvPr id="2" name="Rectangle: Rounded Corners 1">
          <a:extLst>
            <a:ext uri="{FF2B5EF4-FFF2-40B4-BE49-F238E27FC236}">
              <a16:creationId xmlns:a16="http://schemas.microsoft.com/office/drawing/2014/main" id="{5871C58A-3735-4724-E350-E075D6E4489F}"/>
            </a:ext>
          </a:extLst>
        </xdr:cNvPr>
        <xdr:cNvSpPr/>
      </xdr:nvSpPr>
      <xdr:spPr>
        <a:xfrm>
          <a:off x="528428" y="471767"/>
          <a:ext cx="7075894" cy="1155149"/>
        </a:xfrm>
        <a:prstGeom prst="roundRect">
          <a:avLst>
            <a:gd name="adj" fmla="val 11262"/>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547230</xdr:colOff>
      <xdr:row>0</xdr:row>
      <xdr:rowOff>117786</xdr:rowOff>
    </xdr:from>
    <xdr:to>
      <xdr:col>7</xdr:col>
      <xdr:colOff>113673</xdr:colOff>
      <xdr:row>1</xdr:row>
      <xdr:rowOff>184228</xdr:rowOff>
    </xdr:to>
    <xdr:sp macro="" textlink="">
      <xdr:nvSpPr>
        <xdr:cNvPr id="3" name="Rectangle: Rounded Corners 2">
          <a:extLst>
            <a:ext uri="{FF2B5EF4-FFF2-40B4-BE49-F238E27FC236}">
              <a16:creationId xmlns:a16="http://schemas.microsoft.com/office/drawing/2014/main" id="{3E47A141-A1DA-22D2-FFA4-FED7F9C58FAD}"/>
            </a:ext>
          </a:extLst>
        </xdr:cNvPr>
        <xdr:cNvSpPr/>
      </xdr:nvSpPr>
      <xdr:spPr>
        <a:xfrm>
          <a:off x="547230" y="117786"/>
          <a:ext cx="7033573" cy="25459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Analysis of average stress and pressure by academic stage</a:t>
          </a:r>
        </a:p>
      </xdr:txBody>
    </xdr:sp>
    <xdr:clientData/>
  </xdr:twoCellAnchor>
  <xdr:twoCellAnchor>
    <xdr:from>
      <xdr:col>0</xdr:col>
      <xdr:colOff>542102</xdr:colOff>
      <xdr:row>8</xdr:row>
      <xdr:rowOff>79829</xdr:rowOff>
    </xdr:from>
    <xdr:to>
      <xdr:col>3</xdr:col>
      <xdr:colOff>1211202</xdr:colOff>
      <xdr:row>20</xdr:row>
      <xdr:rowOff>168549</xdr:rowOff>
    </xdr:to>
    <xdr:graphicFrame macro="">
      <xdr:nvGraphicFramePr>
        <xdr:cNvPr id="13" name="Chart 12">
          <a:extLst>
            <a:ext uri="{FF2B5EF4-FFF2-40B4-BE49-F238E27FC236}">
              <a16:creationId xmlns:a16="http://schemas.microsoft.com/office/drawing/2014/main" id="{FFD09504-580B-0A16-02DD-9F65EAFA6D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39541</xdr:colOff>
      <xdr:row>8</xdr:row>
      <xdr:rowOff>99904</xdr:rowOff>
    </xdr:from>
    <xdr:to>
      <xdr:col>7</xdr:col>
      <xdr:colOff>54876</xdr:colOff>
      <xdr:row>20</xdr:row>
      <xdr:rowOff>164630</xdr:rowOff>
    </xdr:to>
    <xdr:graphicFrame macro="">
      <xdr:nvGraphicFramePr>
        <xdr:cNvPr id="15" name="Chart 14">
          <a:extLst>
            <a:ext uri="{FF2B5EF4-FFF2-40B4-BE49-F238E27FC236}">
              <a16:creationId xmlns:a16="http://schemas.microsoft.com/office/drawing/2014/main" id="{810A0878-5110-DB5E-5E22-86A1ADCABC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454269</xdr:colOff>
      <xdr:row>21</xdr:row>
      <xdr:rowOff>136769</xdr:rowOff>
    </xdr:from>
    <xdr:to>
      <xdr:col>7</xdr:col>
      <xdr:colOff>180308</xdr:colOff>
      <xdr:row>26</xdr:row>
      <xdr:rowOff>4885</xdr:rowOff>
    </xdr:to>
    <mc:AlternateContent xmlns:mc="http://schemas.openxmlformats.org/markup-compatibility/2006">
      <mc:Choice xmlns:cx1="http://schemas.microsoft.com/office/drawing/2015/9/8/chartex" Requires="cx1">
        <xdr:graphicFrame macro="">
          <xdr:nvGraphicFramePr>
            <xdr:cNvPr id="4" name="Chart 5">
              <a:extLst>
                <a:ext uri="{FF2B5EF4-FFF2-40B4-BE49-F238E27FC236}">
                  <a16:creationId xmlns:a16="http://schemas.microsoft.com/office/drawing/2014/main" id="{7857E4C4-0F12-13C1-BF0E-638BB0B852F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454269" y="4280144"/>
              <a:ext cx="7193639" cy="80474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241375</xdr:colOff>
      <xdr:row>0</xdr:row>
      <xdr:rowOff>146748</xdr:rowOff>
    </xdr:from>
    <xdr:to>
      <xdr:col>12</xdr:col>
      <xdr:colOff>47037</xdr:colOff>
      <xdr:row>12</xdr:row>
      <xdr:rowOff>145031</xdr:rowOff>
    </xdr:to>
    <xdr:graphicFrame macro="">
      <xdr:nvGraphicFramePr>
        <xdr:cNvPr id="14" name="Chart 13">
          <a:extLst>
            <a:ext uri="{FF2B5EF4-FFF2-40B4-BE49-F238E27FC236}">
              <a16:creationId xmlns:a16="http://schemas.microsoft.com/office/drawing/2014/main" id="{E3395980-4786-E2B3-C3D5-D66820C901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337098</xdr:colOff>
      <xdr:row>14</xdr:row>
      <xdr:rowOff>3920</xdr:rowOff>
    </xdr:from>
    <xdr:to>
      <xdr:col>12</xdr:col>
      <xdr:colOff>11759</xdr:colOff>
      <xdr:row>25</xdr:row>
      <xdr:rowOff>160709</xdr:rowOff>
    </xdr:to>
    <xdr:sp macro="" textlink="">
      <xdr:nvSpPr>
        <xdr:cNvPr id="18" name="TextBox 17">
          <a:extLst>
            <a:ext uri="{FF2B5EF4-FFF2-40B4-BE49-F238E27FC236}">
              <a16:creationId xmlns:a16="http://schemas.microsoft.com/office/drawing/2014/main" id="{6D307B26-7E72-8C0F-35C2-1848725010CC}"/>
            </a:ext>
          </a:extLst>
        </xdr:cNvPr>
        <xdr:cNvSpPr txBox="1"/>
      </xdr:nvSpPr>
      <xdr:spPr>
        <a:xfrm>
          <a:off x="7804228" y="2845741"/>
          <a:ext cx="2732068" cy="2226419"/>
        </a:xfrm>
        <a:prstGeom prst="rect">
          <a:avLst/>
        </a:prstGeom>
        <a:solidFill>
          <a:schemeClr val="lt1"/>
        </a:solidFill>
        <a:ln w="9525" cmpd="sng">
          <a:solidFill>
            <a:schemeClr val="accent5">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High school students report the </a:t>
          </a:r>
          <a:r>
            <a:rPr lang="en-IN" b="1"/>
            <a:t>highest home pressure (3.55)</a:t>
          </a:r>
          <a:r>
            <a:rPr lang="en-IN"/>
            <a:t> and overall </a:t>
          </a:r>
          <a:r>
            <a:rPr lang="en-IN" b="1"/>
            <a:t>stress levels (3.83)</a:t>
          </a:r>
          <a:r>
            <a:rPr lang="en-IN"/>
            <a:t> compared to other groups.</a:t>
          </a:r>
          <a:br>
            <a:rPr lang="en-IN"/>
          </a:br>
          <a:r>
            <a:rPr lang="en-IN"/>
            <a:t>Undergraduates face the </a:t>
          </a:r>
          <a:r>
            <a:rPr lang="en-IN" b="1"/>
            <a:t>highest competition pressure (3.52)</a:t>
          </a:r>
          <a:r>
            <a:rPr lang="en-IN"/>
            <a:t> but slightly lower stress (3.69).</a:t>
          </a:r>
          <a:br>
            <a:rPr lang="en-IN"/>
          </a:br>
          <a:r>
            <a:rPr lang="en-IN"/>
            <a:t>Post-graduates experience </a:t>
          </a:r>
          <a:r>
            <a:rPr lang="en-IN" b="1"/>
            <a:t>moderate peer, home, and competition pressures</a:t>
          </a:r>
          <a:r>
            <a:rPr lang="en-IN"/>
            <a:t> with stress (3.73) close to high school levels.</a:t>
          </a:r>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157161</xdr:colOff>
      <xdr:row>6</xdr:row>
      <xdr:rowOff>96837</xdr:rowOff>
    </xdr:from>
    <xdr:to>
      <xdr:col>2</xdr:col>
      <xdr:colOff>2562224</xdr:colOff>
      <xdr:row>21</xdr:row>
      <xdr:rowOff>30162</xdr:rowOff>
    </xdr:to>
    <xdr:graphicFrame macro="">
      <xdr:nvGraphicFramePr>
        <xdr:cNvPr id="2" name="Chart 1">
          <a:extLst>
            <a:ext uri="{FF2B5EF4-FFF2-40B4-BE49-F238E27FC236}">
              <a16:creationId xmlns:a16="http://schemas.microsoft.com/office/drawing/2014/main" id="{C93AE820-2CF0-4A29-A261-DEEA880EA5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434975</xdr:colOff>
      <xdr:row>6</xdr:row>
      <xdr:rowOff>66675</xdr:rowOff>
    </xdr:from>
    <xdr:to>
      <xdr:col>9</xdr:col>
      <xdr:colOff>434975</xdr:colOff>
      <xdr:row>19</xdr:row>
      <xdr:rowOff>155575</xdr:rowOff>
    </xdr:to>
    <mc:AlternateContent xmlns:mc="http://schemas.openxmlformats.org/markup-compatibility/2006" xmlns:a14="http://schemas.microsoft.com/office/drawing/2010/main">
      <mc:Choice Requires="a14">
        <xdr:graphicFrame macro="">
          <xdr:nvGraphicFramePr>
            <xdr:cNvPr id="9" name="What coping strategy you use as a student?">
              <a:extLst>
                <a:ext uri="{FF2B5EF4-FFF2-40B4-BE49-F238E27FC236}">
                  <a16:creationId xmlns:a16="http://schemas.microsoft.com/office/drawing/2014/main" id="{971B5D39-60C1-3DAF-C350-D66EF3C68AA8}"/>
                </a:ext>
              </a:extLst>
            </xdr:cNvPr>
            <xdr:cNvGraphicFramePr/>
          </xdr:nvGraphicFramePr>
          <xdr:xfrm>
            <a:off x="0" y="0"/>
            <a:ext cx="0" cy="0"/>
          </xdr:xfrm>
          <a:graphic>
            <a:graphicData uri="http://schemas.microsoft.com/office/drawing/2010/slicer">
              <sle:slicer xmlns:sle="http://schemas.microsoft.com/office/drawing/2010/slicer" name="What coping strategy you use as a student?"/>
            </a:graphicData>
          </a:graphic>
        </xdr:graphicFrame>
      </mc:Choice>
      <mc:Fallback xmlns="">
        <xdr:sp macro="" textlink="">
          <xdr:nvSpPr>
            <xdr:cNvPr id="0" name=""/>
            <xdr:cNvSpPr>
              <a:spLocks noTextEdit="1"/>
            </xdr:cNvSpPr>
          </xdr:nvSpPr>
          <xdr:spPr>
            <a:xfrm>
              <a:off x="8804275" y="11906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104775</xdr:colOff>
      <xdr:row>6</xdr:row>
      <xdr:rowOff>85725</xdr:rowOff>
    </xdr:from>
    <xdr:to>
      <xdr:col>3</xdr:col>
      <xdr:colOff>1933575</xdr:colOff>
      <xdr:row>19</xdr:row>
      <xdr:rowOff>174625</xdr:rowOff>
    </xdr:to>
    <mc:AlternateContent xmlns:mc="http://schemas.openxmlformats.org/markup-compatibility/2006" xmlns:a14="http://schemas.microsoft.com/office/drawing/2010/main">
      <mc:Choice Requires="a14">
        <xdr:graphicFrame macro="">
          <xdr:nvGraphicFramePr>
            <xdr:cNvPr id="10" name="Your Academic Stage">
              <a:extLst>
                <a:ext uri="{FF2B5EF4-FFF2-40B4-BE49-F238E27FC236}">
                  <a16:creationId xmlns:a16="http://schemas.microsoft.com/office/drawing/2014/main" id="{A87BA6ED-CFA9-FF8C-810F-C17390D9C899}"/>
                </a:ext>
              </a:extLst>
            </xdr:cNvPr>
            <xdr:cNvGraphicFramePr/>
          </xdr:nvGraphicFramePr>
          <xdr:xfrm>
            <a:off x="0" y="0"/>
            <a:ext cx="0" cy="0"/>
          </xdr:xfrm>
          <a:graphic>
            <a:graphicData uri="http://schemas.microsoft.com/office/drawing/2010/slicer">
              <sle:slicer xmlns:sle="http://schemas.microsoft.com/office/drawing/2010/slicer" name="Your Academic Stage"/>
            </a:graphicData>
          </a:graphic>
        </xdr:graphicFrame>
      </mc:Choice>
      <mc:Fallback xmlns="">
        <xdr:sp macro="" textlink="">
          <xdr:nvSpPr>
            <xdr:cNvPr id="0" name=""/>
            <xdr:cNvSpPr>
              <a:spLocks noTextEdit="1"/>
            </xdr:cNvSpPr>
          </xdr:nvSpPr>
          <xdr:spPr>
            <a:xfrm>
              <a:off x="4873625" y="12096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2070100</xdr:colOff>
      <xdr:row>6</xdr:row>
      <xdr:rowOff>73025</xdr:rowOff>
    </xdr:from>
    <xdr:to>
      <xdr:col>6</xdr:col>
      <xdr:colOff>298450</xdr:colOff>
      <xdr:row>19</xdr:row>
      <xdr:rowOff>161925</xdr:rowOff>
    </xdr:to>
    <mc:AlternateContent xmlns:mc="http://schemas.openxmlformats.org/markup-compatibility/2006" xmlns:a14="http://schemas.microsoft.com/office/drawing/2010/main">
      <mc:Choice Requires="a14">
        <xdr:graphicFrame macro="">
          <xdr:nvGraphicFramePr>
            <xdr:cNvPr id="11" name="Peer pressure">
              <a:extLst>
                <a:ext uri="{FF2B5EF4-FFF2-40B4-BE49-F238E27FC236}">
                  <a16:creationId xmlns:a16="http://schemas.microsoft.com/office/drawing/2014/main" id="{C96D5670-49F0-EFD2-AE25-1D55C370F0CC}"/>
                </a:ext>
              </a:extLst>
            </xdr:cNvPr>
            <xdr:cNvGraphicFramePr/>
          </xdr:nvGraphicFramePr>
          <xdr:xfrm>
            <a:off x="0" y="0"/>
            <a:ext cx="0" cy="0"/>
          </xdr:xfrm>
          <a:graphic>
            <a:graphicData uri="http://schemas.microsoft.com/office/drawing/2010/slicer">
              <sle:slicer xmlns:sle="http://schemas.microsoft.com/office/drawing/2010/slicer" name="Peer pressure"/>
            </a:graphicData>
          </a:graphic>
        </xdr:graphicFrame>
      </mc:Choice>
      <mc:Fallback xmlns="">
        <xdr:sp macro="" textlink="">
          <xdr:nvSpPr>
            <xdr:cNvPr id="0" name=""/>
            <xdr:cNvSpPr>
              <a:spLocks noTextEdit="1"/>
            </xdr:cNvSpPr>
          </xdr:nvSpPr>
          <xdr:spPr>
            <a:xfrm>
              <a:off x="6838950" y="11969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urabh wargad" refreshedDate="45912.499728356481" backgroundQuery="1" createdVersion="8" refreshedVersion="8" minRefreshableVersion="3" recordCount="0" supportSubquery="1" supportAdvancedDrill="1" xr:uid="{D3792D55-3A3E-4F22-B613-D8D03D75A77A}">
  <cacheSource type="external" connectionId="1"/>
  <cacheFields count="7">
    <cacheField name="[Measures].[Sum of Peer pressure]" caption="Sum of Peer pressure" numFmtId="0" hierarchy="11" level="32767"/>
    <cacheField name="[Measures].[Sum of Rate your academic stress index]" caption="Sum of Rate your academic stress index" numFmtId="0" hierarchy="13" level="32767"/>
    <cacheField name="[Range].[Study Environment].[Study Environment]" caption="Study Environment" numFmtId="0" hierarchy="4" level="1">
      <sharedItems count="3">
        <s v="disrupted"/>
        <s v="Noisy"/>
        <s v="Peaceful"/>
      </sharedItems>
    </cacheField>
    <cacheField name="[Measures].[Sum of Academic pressure from your home]" caption="Sum of Academic pressure from your home" numFmtId="0" hierarchy="14" level="32767"/>
    <cacheField name="[Range].[What coping strategy you use as a student?].[What coping strategy you use as a student?]" caption="What coping strategy you use as a student?" numFmtId="0" hierarchy="5" level="1">
      <sharedItems containsSemiMixedTypes="0" containsNonDate="0" containsString="0"/>
    </cacheField>
    <cacheField name="[Range].[Do you have any bad habits like smoking, drinking on a daily basis?].[Do you have any bad habits like smoking, drinking on a daily basis?]" caption="Do you have any bad habits like smoking, drinking on a daily basis?" numFmtId="0" hierarchy="6" level="1">
      <sharedItems containsSemiMixedTypes="0" containsNonDate="0" containsString="0"/>
    </cacheField>
    <cacheField name="[Range].[Academic pressure from your home].[Academic pressure from your home]" caption="Academic pressure from your home" numFmtId="0" hierarchy="3" level="1">
      <sharedItems containsSemiMixedTypes="0" containsNonDate="0" containsString="0"/>
    </cacheField>
  </cacheFields>
  <cacheHierarchies count="15">
    <cacheHierarchy uniqueName="[Range].[Timestamp]" caption="Timestamp" attribute="1" time="1" defaultMemberUniqueName="[Range].[Timestamp].[All]" allUniqueName="[Range].[Timestamp].[All]" dimensionUniqueName="[Range]" displayFolder="" count="2" memberValueDatatype="7" unbalanced="0"/>
    <cacheHierarchy uniqueName="[Range].[Your Academic Stage]" caption="Your Academic Stage" attribute="1" defaultMemberUniqueName="[Range].[Your Academic Stage].[All]" allUniqueName="[Range].[Your Academic Stage].[All]" dimensionUniqueName="[Range]" displayFolder="" count="2" memberValueDatatype="130" unbalanced="0"/>
    <cacheHierarchy uniqueName="[Range].[Peer pressure]" caption="Peer pressure" attribute="1" defaultMemberUniqueName="[Range].[Peer pressure].[All]" allUniqueName="[Range].[Peer pressure].[All]" dimensionUniqueName="[Range]" displayFolder="" count="2" memberValueDatatype="5" unbalanced="0"/>
    <cacheHierarchy uniqueName="[Range].[Academic pressure from your home]" caption="Academic pressure from your home" attribute="1" defaultMemberUniqueName="[Range].[Academic pressure from your home].[All]" allUniqueName="[Range].[Academic pressure from your home].[All]" dimensionUniqueName="[Range]" displayFolder="" count="2" memberValueDatatype="5" unbalanced="0">
      <fieldsUsage count="2">
        <fieldUsage x="-1"/>
        <fieldUsage x="6"/>
      </fieldsUsage>
    </cacheHierarchy>
    <cacheHierarchy uniqueName="[Range].[Study Environment]" caption="Study Environment" attribute="1" defaultMemberUniqueName="[Range].[Study Environment].[All]" allUniqueName="[Range].[Study Environment].[All]" dimensionUniqueName="[Range]" displayFolder="" count="2" memberValueDatatype="130" unbalanced="0">
      <fieldsUsage count="2">
        <fieldUsage x="-1"/>
        <fieldUsage x="2"/>
      </fieldsUsage>
    </cacheHierarchy>
    <cacheHierarchy uniqueName="[Range].[What coping strategy you use as a student?]" caption="What coping strategy you use as a student?" attribute="1" defaultMemberUniqueName="[Range].[What coping strategy you use as a student?].[All]" allUniqueName="[Range].[What coping strategy you use as a student?].[All]" dimensionUniqueName="[Range]" displayFolder="" count="2" memberValueDatatype="130" unbalanced="0">
      <fieldsUsage count="2">
        <fieldUsage x="-1"/>
        <fieldUsage x="4"/>
      </fieldsUsage>
    </cacheHierarchy>
    <cacheHierarchy uniqueName="[Range].[Do you have any bad habits like smoking, drinking on a daily basis?]" caption="Do you have any bad habits like smoking, drinking on a daily basis?" attribute="1" defaultMemberUniqueName="[Range].[Do you have any bad habits like smoking, drinking on a daily basis?].[All]" allUniqueName="[Range].[Do you have any bad habits like smoking, drinking on a daily basis?].[All]" dimensionUniqueName="[Range]" displayFolder="" count="2" memberValueDatatype="130" unbalanced="0">
      <fieldsUsage count="2">
        <fieldUsage x="-1"/>
        <fieldUsage x="5"/>
      </fieldsUsage>
    </cacheHierarchy>
    <cacheHierarchy uniqueName="[Range].[What would you rate the academic  competition in your student life]" caption="What would you rate the academic  competition in your student life" attribute="1" defaultMemberUniqueName="[Range].[What would you rate the academic  competition in your student life].[All]" allUniqueName="[Range].[What would you rate the academic  competition in your student life].[All]" dimensionUniqueName="[Range]" displayFolder="" count="2" memberValueDatatype="5" unbalanced="0"/>
    <cacheHierarchy uniqueName="[Range].[Rate your academic stress index]" caption="Rate your academic stress index" attribute="1" defaultMemberUniqueName="[Range].[Rate your academic stress index].[All]" allUniqueName="[Range].[Rate your academic stress index].[All]" dimensionUniqueName="[Range]" displayFolder="" count="2"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Peer pressure]" caption="Sum of Peer pressure" measure="1" displayFolder="" measureGroup="Range" count="0" oneField="1" hidden="1">
      <fieldsUsage count="1">
        <fieldUsage x="0"/>
      </fieldsUsage>
      <extLst>
        <ext xmlns:x15="http://schemas.microsoft.com/office/spreadsheetml/2010/11/main" uri="{B97F6D7D-B522-45F9-BDA1-12C45D357490}">
          <x15:cacheHierarchy aggregatedColumn="2"/>
        </ext>
      </extLst>
    </cacheHierarchy>
    <cacheHierarchy uniqueName="[Measures].[Sum of What would you rate the academic  competition in your student life]" caption="Sum of What would you rate the academic  competition in your student life" measure="1" displayFolder="" measureGroup="Range" count="0" hidden="1">
      <extLst>
        <ext xmlns:x15="http://schemas.microsoft.com/office/spreadsheetml/2010/11/main" uri="{B97F6D7D-B522-45F9-BDA1-12C45D357490}">
          <x15:cacheHierarchy aggregatedColumn="7"/>
        </ext>
      </extLst>
    </cacheHierarchy>
    <cacheHierarchy uniqueName="[Measures].[Sum of Rate your academic stress index]" caption="Sum of Rate your academic stress index" measure="1" displayFolder="" measureGroup="Range"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Academic pressure from your home]" caption="Sum of Academic pressure from your home" measure="1" displayFolder="" measureGroup="Range" count="0" oneField="1" hidden="1">
      <fieldsUsage count="1">
        <fieldUsage x="3"/>
      </fieldsUsage>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urabh wargad" refreshedDate="45912.499722800923" backgroundQuery="1" createdVersion="3" refreshedVersion="8" minRefreshableVersion="3" recordCount="0" supportSubquery="1" supportAdvancedDrill="1" xr:uid="{EFFE260E-70BD-4E45-91BC-11A4962B20C1}">
  <cacheSource type="external" connectionId="1">
    <extLst>
      <ext xmlns:x14="http://schemas.microsoft.com/office/spreadsheetml/2009/9/main" uri="{F057638F-6D5F-4e77-A914-E7F072B9BCA8}">
        <x14:sourceConnection name="ThisWorkbookDataModel"/>
      </ext>
    </extLst>
  </cacheSource>
  <cacheFields count="0"/>
  <cacheHierarchies count="15">
    <cacheHierarchy uniqueName="[Range].[Timestamp]" caption="Timestamp" attribute="1" time="1" defaultMemberUniqueName="[Range].[Timestamp].[All]" allUniqueName="[Range].[Timestamp].[All]" dimensionUniqueName="[Range]" displayFolder="" count="0" memberValueDatatype="7" unbalanced="0"/>
    <cacheHierarchy uniqueName="[Range].[Your Academic Stage]" caption="Your Academic Stage" attribute="1" defaultMemberUniqueName="[Range].[Your Academic Stage].[All]" allUniqueName="[Range].[Your Academic Stage].[All]" dimensionUniqueName="[Range]" displayFolder="" count="2" memberValueDatatype="130" unbalanced="0"/>
    <cacheHierarchy uniqueName="[Range].[Peer pressure]" caption="Peer pressure" attribute="1" defaultMemberUniqueName="[Range].[Peer pressure].[All]" allUniqueName="[Range].[Peer pressure].[All]" dimensionUniqueName="[Range]" displayFolder="" count="2" memberValueDatatype="5" unbalanced="0"/>
    <cacheHierarchy uniqueName="[Range].[Academic pressure from your home]" caption="Academic pressure from your home" attribute="1" defaultMemberUniqueName="[Range].[Academic pressure from your home].[All]" allUniqueName="[Range].[Academic pressure from your home].[All]" dimensionUniqueName="[Range]" displayFolder="" count="0" memberValueDatatype="5" unbalanced="0"/>
    <cacheHierarchy uniqueName="[Range].[Study Environment]" caption="Study Environment" attribute="1" defaultMemberUniqueName="[Range].[Study Environment].[All]" allUniqueName="[Range].[Study Environment].[All]" dimensionUniqueName="[Range]" displayFolder="" count="0" memberValueDatatype="130" unbalanced="0"/>
    <cacheHierarchy uniqueName="[Range].[What coping strategy you use as a student?]" caption="What coping strategy you use as a student?" attribute="1" defaultMemberUniqueName="[Range].[What coping strategy you use as a student?].[All]" allUniqueName="[Range].[What coping strategy you use as a student?].[All]" dimensionUniqueName="[Range]" displayFolder="" count="2" memberValueDatatype="130" unbalanced="0"/>
    <cacheHierarchy uniqueName="[Range].[Do you have any bad habits like smoking, drinking on a daily basis?]" caption="Do you have any bad habits like smoking, drinking on a daily basis?" attribute="1" defaultMemberUniqueName="[Range].[Do you have any bad habits like smoking, drinking on a daily basis?].[All]" allUniqueName="[Range].[Do you have any bad habits like smoking, drinking on a daily basis?].[All]" dimensionUniqueName="[Range]" displayFolder="" count="0" memberValueDatatype="130" unbalanced="0"/>
    <cacheHierarchy uniqueName="[Range].[What would you rate the academic  competition in your student life]" caption="What would you rate the academic  competition in your student life" attribute="1" defaultMemberUniqueName="[Range].[What would you rate the academic  competition in your student life].[All]" allUniqueName="[Range].[What would you rate the academic  competition in your student life].[All]" dimensionUniqueName="[Range]" displayFolder="" count="0" memberValueDatatype="5" unbalanced="0"/>
    <cacheHierarchy uniqueName="[Range].[Rate your academic stress index]" caption="Rate your academic stress index" attribute="1" defaultMemberUniqueName="[Range].[Rate your academic stress index].[All]" allUniqueName="[Range].[Rate your academic stress index].[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Peer pressure]" caption="Sum of Peer pressure" measure="1" displayFolder="" measureGroup="Range" count="0" hidden="1">
      <extLst>
        <ext xmlns:x15="http://schemas.microsoft.com/office/spreadsheetml/2010/11/main" uri="{B97F6D7D-B522-45F9-BDA1-12C45D357490}">
          <x15:cacheHierarchy aggregatedColumn="2"/>
        </ext>
      </extLst>
    </cacheHierarchy>
    <cacheHierarchy uniqueName="[Measures].[Sum of What would you rate the academic  competition in your student life]" caption="Sum of What would you rate the academic  competition in your student life" measure="1" displayFolder="" measureGroup="Range" count="0" hidden="1">
      <extLst>
        <ext xmlns:x15="http://schemas.microsoft.com/office/spreadsheetml/2010/11/main" uri="{B97F6D7D-B522-45F9-BDA1-12C45D357490}">
          <x15:cacheHierarchy aggregatedColumn="7"/>
        </ext>
      </extLst>
    </cacheHierarchy>
    <cacheHierarchy uniqueName="[Measures].[Sum of Rate your academic stress index]" caption="Sum of Rate your academic stress index" measure="1" displayFolder="" measureGroup="Range" count="0" hidden="1">
      <extLst>
        <ext xmlns:x15="http://schemas.microsoft.com/office/spreadsheetml/2010/11/main" uri="{B97F6D7D-B522-45F9-BDA1-12C45D357490}">
          <x15:cacheHierarchy aggregatedColumn="8"/>
        </ext>
      </extLst>
    </cacheHierarchy>
    <cacheHierarchy uniqueName="[Measures].[Sum of Academic pressure from your home]" caption="Sum of Academic pressure from your home" measure="1" displayFolder="" measureGroup="Range"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112125800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A8A384-2097-4AF1-8A8F-1B28B30A0E34}" name="PivotTable8"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
  <location ref="A1:D5" firstHeaderRow="0" firstDataRow="1" firstDataCol="1"/>
  <pivotFields count="7">
    <pivotField dataField="1" subtotalTop="0" showAll="0" defaultSubtotal="0"/>
    <pivotField dataField="1" subtotalTop="0" showAll="0" defaultSubtotal="0"/>
    <pivotField axis="axisRow" allDrilled="1" subtotalTop="0" showAll="0" dataSourceSort="1" defaultSubtotal="0" defaultAttributeDrillState="1">
      <items count="3">
        <item s="1" x="0"/>
        <item s="1" x="1"/>
        <item s="1"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4">
    <i>
      <x/>
    </i>
    <i>
      <x v="1"/>
    </i>
    <i>
      <x v="2"/>
    </i>
    <i t="grand">
      <x/>
    </i>
  </rowItems>
  <colFields count="1">
    <field x="-2"/>
  </colFields>
  <colItems count="3">
    <i>
      <x/>
    </i>
    <i i="1">
      <x v="1"/>
    </i>
    <i i="2">
      <x v="2"/>
    </i>
  </colItems>
  <dataFields count="3">
    <dataField name="Sum of Peer pressure" fld="0" baseField="0" baseItem="0"/>
    <dataField name="Sum of Academic pressure from your home" fld="3" baseField="0" baseItem="0"/>
    <dataField name="Sum of Rate your academic stress index" fld="1"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2"/>
          </reference>
        </references>
      </pivotArea>
    </chartFormat>
    <chartFormat chart="0" format="2" series="1">
      <pivotArea type="data" outline="0" fieldPosition="0">
        <references count="1">
          <reference field="4294967294" count="1" selected="0">
            <x v="1"/>
          </reference>
        </references>
      </pivotArea>
    </chartFormat>
  </chartFormats>
  <pivotHierarchies count="15">
    <pivotHierarchy dragToData="1"/>
    <pivotHierarchy dragToData="1"/>
    <pivotHierarchy dragToData="1"/>
    <pivotHierarchy multipleItemSelectionAllowed="1" dragToData="1">
      <members count="7" level="1">
        <member name="[Range].[Academic pressure from your home].&amp;"/>
        <member name="[Range].[Academic pressure from your home].&amp;[2.]"/>
        <member name="[Range].[Academic pressure from your home].&amp;[3.]"/>
        <member name="[Range].[Academic pressure from your home].&amp;[3.1785714285714284]"/>
        <member name="[Range].[Academic pressure from your home].&amp;[4.]"/>
        <member name="[Range].[Academic pressure from your home].&amp;[4.45E2]"/>
        <member name="[Range].[Academic pressure from your home].&amp;[5.]"/>
      </members>
    </pivotHierarchy>
    <pivotHierarchy dragToData="1"/>
    <pivotHierarchy multipleItemSelectionAllowed="1" dragToData="1">
      <members count="1" level="1">
        <member name="[Range].[What coping strategy you use as a student?].&amp;[Social support (friends, family)]"/>
      </members>
    </pivotHierarchy>
    <pivotHierarchy multipleItemSelectionAllowed="1" dragToData="1">
      <members count="1" level="1">
        <member name="[Range].[Do you have any bad habits like smoking, drinking on a daily basis?].&amp;[prefer not to say]"/>
      </members>
    </pivotHierarchy>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I">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hat_coping_strategy_you_use_as_a_student?" xr10:uid="{57B71A22-C7BF-41D5-80F4-3429EC0912FA}" sourceName="[Range].[What coping strategy you use as a student?]">
  <pivotTables>
    <pivotTable tabId="9" name="PivotTable8"/>
  </pivotTables>
  <data>
    <olap pivotCacheId="1121258003">
      <levels count="2">
        <level uniqueName="[Range].[What coping strategy you use as a student?].[(All)]" sourceCaption="(All)" count="0"/>
        <level uniqueName="[Range].[What coping strategy you use as a student?].[What coping strategy you use as a student?]" sourceCaption="What coping strategy you use as a student?" count="4">
          <ranges>
            <range startItem="0">
              <i n="[Range].[What coping strategy you use as a student?].&amp;[Analyze the situation and handle it with intellect]" c="Analyze the situation and handle it with intellect"/>
              <i n="[Range].[What coping strategy you use as a student?].&amp;[Emotional breakdown (crying a lot)]" c="Emotional breakdown (crying a lot)"/>
              <i n="[Range].[What coping strategy you use as a student?].&amp;[Social support (friends, family)]" c="Social support (friends, family)"/>
              <i n="[Range].[What coping strategy you use as a student?].&amp;" c="(blank)" nd="1"/>
            </range>
          </ranges>
        </level>
      </levels>
      <selections count="1">
        <selection n="[Range].[What coping strategy you use as a student?].&amp;[Social support (friends, famil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our_Academic_Stage" xr10:uid="{F5715A3A-5A8D-474D-8239-FA3C278D0E49}" sourceName="[Range].[Your Academic Stage]">
  <pivotTables>
    <pivotTable tabId="9" name="PivotTable8"/>
  </pivotTables>
  <data>
    <olap pivotCacheId="1121258003">
      <levels count="2">
        <level uniqueName="[Range].[Your Academic Stage].[(All)]" sourceCaption="(All)" count="0"/>
        <level uniqueName="[Range].[Your Academic Stage].[Your Academic Stage]" sourceCaption="Your Academic Stage" count="9">
          <ranges>
            <range startItem="0">
              <i n="[Range].[Your Academic Stage].&amp;[high school]" c="high school"/>
              <i n="[Range].[Your Academic Stage].&amp;[post-graduate]" c="post-graduate"/>
              <i n="[Range].[Your Academic Stage].&amp;[undergraduate]" c="undergraduate"/>
              <i n="[Range].[Your Academic Stage].&amp;" c="(blank)" nd="1"/>
              <i n="[Range].[Your Academic Stage].&amp;[100]" c="100" nd="1"/>
              <i n="[Range].[Your Academic Stage].&amp;[11]" c="11" nd="1"/>
              <i n="[Range].[Your Academic Stage].&amp;[29]" c="29" nd="1"/>
              <i n="[Range].[Your Academic Stage].&amp;[Average]" c="Average" nd="1"/>
              <i n="[Range].[Your Academic Stage].&amp;[Sum]" c="Sum" nd="1"/>
            </range>
          </ranges>
        </level>
      </levels>
      <selections count="1">
        <selection n="[Range].[Your Academic Stag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er_pressure" xr10:uid="{C0F67A4A-B937-4B0D-9069-FA9F514E8474}" sourceName="[Range].[Peer pressure]">
  <pivotTables>
    <pivotTable tabId="9" name="PivotTable8"/>
  </pivotTables>
  <data>
    <olap pivotCacheId="1121258003">
      <levels count="2">
        <level uniqueName="[Range].[Peer pressure].[(All)]" sourceCaption="(All)" count="0"/>
        <level uniqueName="[Range].[Peer pressure].[Peer pressure]" sourceCaption="Peer pressure" count="8">
          <ranges>
            <range startItem="0">
              <i n="[Range].[Peer pressure].&amp;[1.]" c="1"/>
              <i n="[Range].[Peer pressure].&amp;[2.]" c="2"/>
              <i n="[Range].[Peer pressure].&amp;[3.]" c="3"/>
              <i n="[Range].[Peer pressure].&amp;[4.]" c="4"/>
              <i n="[Range].[Peer pressure].&amp;[5.]" c="5"/>
              <i n="[Range].[Peer pressure].&amp;" c="(blank)" nd="1"/>
              <i n="[Range].[Peer pressure].&amp;[3.0714285714285716]" c="3.07142857142857" nd="1"/>
              <i n="[Range].[Peer pressure].&amp;[4.3E2]" c="430" nd="1"/>
            </range>
          </ranges>
        </level>
      </levels>
      <selections count="1">
        <selection n="[Range].[Peer pressur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hat coping strategy you use as a student?" xr10:uid="{171B974F-1D1B-466C-A110-1B0100BA9F5E}" cache="Slicer_What_coping_strategy_you_use_as_a_student?" caption="What coping strategy you use as a student?" level="1" rowHeight="241300"/>
  <slicer name="Your Academic Stage" xr10:uid="{8ED711B6-395A-4B7E-928C-02C87B5F234D}" cache="Slicer_Your_Academic_Stage" caption="Your Academic Stage" level="1" rowHeight="241300"/>
  <slicer name="Peer pressure" xr10:uid="{E4228FE6-4571-4941-80B2-2E2BA958048C}" cache="Slicer_Peer_pressure" caption="Peer pressure"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83CBE-3A52-4B39-8E62-300C86193641}">
  <dimension ref="A1:I148"/>
  <sheetViews>
    <sheetView zoomScale="84" zoomScaleNormal="40" workbookViewId="0">
      <selection activeCell="I1" sqref="I1"/>
    </sheetView>
  </sheetViews>
  <sheetFormatPr defaultRowHeight="14.75" x14ac:dyDescent="0.75"/>
  <cols>
    <col min="1" max="1" width="15.58984375" style="1" customWidth="1"/>
    <col min="2" max="2" width="17.90625" style="1" customWidth="1"/>
    <col min="3" max="3" width="11.1796875" style="1" bestFit="1" customWidth="1"/>
    <col min="4" max="4" width="13.5" style="1" customWidth="1"/>
    <col min="5" max="5" width="8.7265625" style="1"/>
    <col min="6" max="6" width="44.953125" style="1" customWidth="1"/>
    <col min="7" max="7" width="21.40625" style="1" customWidth="1"/>
    <col min="8" max="8" width="22.08984375" style="1" customWidth="1"/>
    <col min="9" max="9" width="11.31640625" style="1" customWidth="1"/>
    <col min="10" max="16384" width="8.7265625" style="1"/>
  </cols>
  <sheetData>
    <row r="1" spans="1:9" ht="59" x14ac:dyDescent="0.75">
      <c r="A1" s="1" t="s">
        <v>0</v>
      </c>
      <c r="B1" s="1" t="s">
        <v>1</v>
      </c>
      <c r="C1" s="1" t="s">
        <v>2</v>
      </c>
      <c r="D1" s="1" t="s">
        <v>3</v>
      </c>
      <c r="E1" s="1" t="s">
        <v>4</v>
      </c>
      <c r="F1" s="1" t="s">
        <v>5</v>
      </c>
      <c r="G1" s="1" t="s">
        <v>6</v>
      </c>
      <c r="H1" s="1" t="s">
        <v>7</v>
      </c>
      <c r="I1" s="1" t="s">
        <v>8</v>
      </c>
    </row>
    <row r="2" spans="1:9" x14ac:dyDescent="0.75">
      <c r="A2" s="2">
        <v>45862.920590277776</v>
      </c>
      <c r="B2" s="1" t="s">
        <v>9</v>
      </c>
      <c r="C2" s="1">
        <v>4</v>
      </c>
      <c r="D2" s="1">
        <v>5</v>
      </c>
      <c r="E2" s="1" t="s">
        <v>10</v>
      </c>
      <c r="F2" s="1" t="s">
        <v>11</v>
      </c>
      <c r="G2" s="1" t="s">
        <v>12</v>
      </c>
      <c r="H2" s="1">
        <v>3</v>
      </c>
      <c r="I2" s="1">
        <v>5</v>
      </c>
    </row>
    <row r="3" spans="1:9" x14ac:dyDescent="0.75">
      <c r="A3" s="2">
        <v>45862.920740740738</v>
      </c>
      <c r="B3" s="1" t="s">
        <v>9</v>
      </c>
      <c r="C3" s="1">
        <v>3</v>
      </c>
      <c r="D3" s="1">
        <v>4</v>
      </c>
      <c r="E3" s="1" t="s">
        <v>13</v>
      </c>
      <c r="F3" s="1" t="s">
        <v>11</v>
      </c>
      <c r="G3" s="1" t="s">
        <v>12</v>
      </c>
      <c r="H3" s="1">
        <v>3</v>
      </c>
      <c r="I3" s="1">
        <v>3</v>
      </c>
    </row>
    <row r="4" spans="1:9" x14ac:dyDescent="0.75">
      <c r="A4" s="2">
        <v>45862.921284722222</v>
      </c>
      <c r="B4" s="1" t="s">
        <v>9</v>
      </c>
      <c r="C4" s="1">
        <v>1</v>
      </c>
      <c r="D4" s="1">
        <v>1</v>
      </c>
      <c r="E4" s="1" t="s">
        <v>13</v>
      </c>
      <c r="F4" s="1" t="s">
        <v>14</v>
      </c>
      <c r="G4" s="1" t="s">
        <v>12</v>
      </c>
      <c r="H4" s="1">
        <v>2</v>
      </c>
      <c r="I4" s="1">
        <v>4</v>
      </c>
    </row>
    <row r="5" spans="1:9" x14ac:dyDescent="0.75">
      <c r="A5" s="2">
        <v>45862.921354166669</v>
      </c>
      <c r="B5" s="1" t="s">
        <v>9</v>
      </c>
      <c r="C5" s="1">
        <v>3</v>
      </c>
      <c r="D5" s="1">
        <v>2</v>
      </c>
      <c r="E5" s="1" t="s">
        <v>13</v>
      </c>
      <c r="F5" s="1" t="s">
        <v>11</v>
      </c>
      <c r="G5" s="1" t="s">
        <v>12</v>
      </c>
      <c r="H5" s="1">
        <v>4</v>
      </c>
      <c r="I5" s="1">
        <v>3</v>
      </c>
    </row>
    <row r="6" spans="1:9" x14ac:dyDescent="0.75">
      <c r="A6" s="2">
        <v>45862.922291666669</v>
      </c>
      <c r="B6" s="1" t="s">
        <v>9</v>
      </c>
      <c r="C6" s="1">
        <v>3</v>
      </c>
      <c r="D6" s="1">
        <v>3</v>
      </c>
      <c r="E6" s="1" t="s">
        <v>13</v>
      </c>
      <c r="F6" s="1" t="s">
        <v>11</v>
      </c>
      <c r="G6" s="1" t="s">
        <v>12</v>
      </c>
      <c r="H6" s="1">
        <v>4</v>
      </c>
      <c r="I6" s="1">
        <v>5</v>
      </c>
    </row>
    <row r="7" spans="1:9" x14ac:dyDescent="0.75">
      <c r="A7" s="2">
        <v>45862.922372685185</v>
      </c>
      <c r="B7" s="1" t="s">
        <v>9</v>
      </c>
      <c r="C7" s="1">
        <v>3</v>
      </c>
      <c r="D7" s="1">
        <v>3</v>
      </c>
      <c r="E7" s="1" t="s">
        <v>13</v>
      </c>
      <c r="F7" s="1" t="s">
        <v>11</v>
      </c>
      <c r="G7" s="1" t="s">
        <v>12</v>
      </c>
      <c r="H7" s="1">
        <v>4</v>
      </c>
      <c r="I7" s="1">
        <v>4</v>
      </c>
    </row>
    <row r="8" spans="1:9" x14ac:dyDescent="0.75">
      <c r="A8" s="2">
        <v>45862.923159722224</v>
      </c>
      <c r="B8" s="1" t="s">
        <v>9</v>
      </c>
      <c r="C8" s="1">
        <v>5</v>
      </c>
      <c r="D8" s="1">
        <v>5</v>
      </c>
      <c r="E8" s="1" t="s">
        <v>15</v>
      </c>
      <c r="F8" s="1" t="s">
        <v>16</v>
      </c>
      <c r="G8" s="1" t="s">
        <v>12</v>
      </c>
      <c r="H8" s="1">
        <v>4</v>
      </c>
      <c r="I8" s="1">
        <v>4</v>
      </c>
    </row>
    <row r="9" spans="1:9" x14ac:dyDescent="0.75">
      <c r="A9" s="2">
        <v>45862.923680555556</v>
      </c>
      <c r="B9" s="1" t="s">
        <v>9</v>
      </c>
      <c r="C9" s="1">
        <v>3</v>
      </c>
      <c r="D9" s="1">
        <v>2</v>
      </c>
      <c r="E9" s="1" t="s">
        <v>13</v>
      </c>
      <c r="F9" s="1" t="s">
        <v>14</v>
      </c>
      <c r="G9" s="1" t="s">
        <v>12</v>
      </c>
      <c r="H9" s="1">
        <v>3</v>
      </c>
      <c r="I9" s="1">
        <v>3</v>
      </c>
    </row>
    <row r="10" spans="1:9" x14ac:dyDescent="0.75">
      <c r="A10" s="2">
        <v>45862.924317129633</v>
      </c>
      <c r="B10" s="1" t="s">
        <v>9</v>
      </c>
      <c r="C10" s="1">
        <v>2</v>
      </c>
      <c r="D10" s="1">
        <v>2</v>
      </c>
      <c r="E10" s="1" t="s">
        <v>13</v>
      </c>
      <c r="F10" s="1" t="s">
        <v>11</v>
      </c>
      <c r="G10" s="1" t="s">
        <v>12</v>
      </c>
      <c r="H10" s="1">
        <v>2</v>
      </c>
      <c r="I10" s="1">
        <v>2</v>
      </c>
    </row>
    <row r="11" spans="1:9" x14ac:dyDescent="0.75">
      <c r="A11" s="2">
        <v>45862.924525462964</v>
      </c>
      <c r="B11" s="1" t="s">
        <v>9</v>
      </c>
      <c r="C11" s="1">
        <v>2</v>
      </c>
      <c r="D11" s="1">
        <v>2</v>
      </c>
      <c r="E11" s="1" t="s">
        <v>13</v>
      </c>
      <c r="F11" s="1" t="s">
        <v>11</v>
      </c>
      <c r="G11" s="1" t="s">
        <v>12</v>
      </c>
      <c r="H11" s="1">
        <v>4</v>
      </c>
      <c r="I11" s="1">
        <v>2</v>
      </c>
    </row>
    <row r="12" spans="1:9" x14ac:dyDescent="0.75">
      <c r="A12" s="2">
        <v>45862.925138888888</v>
      </c>
      <c r="B12" s="1" t="s">
        <v>9</v>
      </c>
      <c r="C12" s="1">
        <v>3</v>
      </c>
      <c r="D12" s="1">
        <v>2</v>
      </c>
      <c r="E12" s="1" t="s">
        <v>15</v>
      </c>
      <c r="F12" s="1" t="s">
        <v>16</v>
      </c>
      <c r="G12" s="1" t="s">
        <v>12</v>
      </c>
      <c r="H12" s="1">
        <v>3</v>
      </c>
      <c r="I12" s="1">
        <v>5</v>
      </c>
    </row>
    <row r="13" spans="1:9" x14ac:dyDescent="0.75">
      <c r="A13" s="2">
        <v>45862.92527777778</v>
      </c>
      <c r="B13" s="1" t="s">
        <v>9</v>
      </c>
      <c r="C13" s="1">
        <v>4</v>
      </c>
      <c r="D13" s="1">
        <v>5</v>
      </c>
      <c r="E13" s="1" t="s">
        <v>13</v>
      </c>
      <c r="F13" s="1" t="s">
        <v>11</v>
      </c>
      <c r="G13" s="1" t="s">
        <v>12</v>
      </c>
      <c r="H13" s="1">
        <v>3</v>
      </c>
      <c r="I13" s="1">
        <v>3</v>
      </c>
    </row>
    <row r="14" spans="1:9" x14ac:dyDescent="0.75">
      <c r="A14" s="2">
        <v>45862.925312500003</v>
      </c>
      <c r="B14" s="1" t="s">
        <v>9</v>
      </c>
      <c r="C14" s="1">
        <v>2</v>
      </c>
      <c r="D14" s="1">
        <v>3</v>
      </c>
      <c r="E14" s="1" t="s">
        <v>10</v>
      </c>
      <c r="F14" s="1" t="s">
        <v>16</v>
      </c>
      <c r="G14" s="1" t="s">
        <v>12</v>
      </c>
      <c r="H14" s="1">
        <v>2</v>
      </c>
      <c r="I14" s="1">
        <v>2</v>
      </c>
    </row>
    <row r="15" spans="1:9" x14ac:dyDescent="0.75">
      <c r="A15" s="2">
        <v>45862.925555555557</v>
      </c>
      <c r="B15" s="1" t="s">
        <v>9</v>
      </c>
      <c r="C15" s="1">
        <v>2</v>
      </c>
      <c r="D15" s="1">
        <v>3</v>
      </c>
      <c r="E15" s="1" t="s">
        <v>15</v>
      </c>
      <c r="F15" s="1" t="s">
        <v>11</v>
      </c>
      <c r="G15" s="1" t="s">
        <v>12</v>
      </c>
      <c r="H15" s="1">
        <v>4</v>
      </c>
      <c r="I15" s="1">
        <v>2</v>
      </c>
    </row>
    <row r="16" spans="1:9" x14ac:dyDescent="0.75">
      <c r="A16" s="2">
        <v>45862.926574074074</v>
      </c>
      <c r="B16" s="1" t="s">
        <v>9</v>
      </c>
      <c r="C16" s="1">
        <v>3</v>
      </c>
      <c r="D16" s="1">
        <v>4</v>
      </c>
      <c r="E16" s="1" t="s">
        <v>15</v>
      </c>
      <c r="F16" s="1" t="s">
        <v>14</v>
      </c>
      <c r="G16" s="1" t="s">
        <v>17</v>
      </c>
      <c r="H16" s="1">
        <v>3</v>
      </c>
      <c r="I16" s="1">
        <v>4</v>
      </c>
    </row>
    <row r="17" spans="1:9" x14ac:dyDescent="0.75">
      <c r="A17" s="2">
        <v>45862.927152777775</v>
      </c>
      <c r="B17" s="1" t="s">
        <v>9</v>
      </c>
      <c r="C17" s="1">
        <v>5</v>
      </c>
      <c r="D17" s="1">
        <v>5</v>
      </c>
      <c r="E17" s="1" t="s">
        <v>10</v>
      </c>
      <c r="F17" s="1" t="s">
        <v>11</v>
      </c>
      <c r="G17" s="1" t="s">
        <v>12</v>
      </c>
      <c r="H17" s="1">
        <v>4</v>
      </c>
      <c r="I17" s="1">
        <v>4</v>
      </c>
    </row>
    <row r="18" spans="1:9" x14ac:dyDescent="0.75">
      <c r="A18" s="2">
        <v>45862.927534722221</v>
      </c>
      <c r="B18" s="1" t="s">
        <v>9</v>
      </c>
      <c r="C18" s="1">
        <v>3</v>
      </c>
      <c r="D18" s="1">
        <v>3</v>
      </c>
      <c r="E18" s="1" t="s">
        <v>13</v>
      </c>
      <c r="F18" s="1" t="s">
        <v>11</v>
      </c>
      <c r="G18" s="1" t="s">
        <v>12</v>
      </c>
      <c r="H18" s="1">
        <v>5</v>
      </c>
      <c r="I18" s="1">
        <v>5</v>
      </c>
    </row>
    <row r="19" spans="1:9" x14ac:dyDescent="0.75">
      <c r="A19" s="2">
        <v>45862.927893518521</v>
      </c>
      <c r="B19" s="1" t="s">
        <v>9</v>
      </c>
      <c r="C19" s="1">
        <v>3</v>
      </c>
      <c r="D19" s="1">
        <v>5</v>
      </c>
      <c r="E19" s="1" t="s">
        <v>15</v>
      </c>
      <c r="F19" s="1" t="s">
        <v>11</v>
      </c>
      <c r="G19" s="1" t="s">
        <v>12</v>
      </c>
      <c r="H19" s="1">
        <v>5</v>
      </c>
      <c r="I19" s="1">
        <v>4</v>
      </c>
    </row>
    <row r="20" spans="1:9" x14ac:dyDescent="0.75">
      <c r="A20" s="2">
        <v>45862.928391203706</v>
      </c>
      <c r="B20" s="1" t="s">
        <v>9</v>
      </c>
      <c r="C20" s="1">
        <v>3</v>
      </c>
      <c r="D20" s="1">
        <v>3</v>
      </c>
      <c r="E20" s="1" t="s">
        <v>13</v>
      </c>
      <c r="F20" s="1" t="s">
        <v>16</v>
      </c>
      <c r="G20" s="1" t="s">
        <v>12</v>
      </c>
      <c r="H20" s="1">
        <v>4</v>
      </c>
      <c r="I20" s="1">
        <v>3</v>
      </c>
    </row>
    <row r="21" spans="1:9" x14ac:dyDescent="0.75">
      <c r="A21" s="2">
        <v>45862.92900462963</v>
      </c>
      <c r="B21" s="1" t="s">
        <v>9</v>
      </c>
      <c r="C21" s="1">
        <v>3</v>
      </c>
      <c r="D21" s="1">
        <v>4</v>
      </c>
      <c r="E21" s="1" t="s">
        <v>13</v>
      </c>
      <c r="F21" s="1" t="s">
        <v>14</v>
      </c>
      <c r="G21" s="1" t="s">
        <v>12</v>
      </c>
      <c r="H21" s="1">
        <v>4</v>
      </c>
      <c r="I21" s="1">
        <v>3</v>
      </c>
    </row>
    <row r="22" spans="1:9" x14ac:dyDescent="0.75">
      <c r="A22" s="2">
        <v>45862.929189814815</v>
      </c>
      <c r="B22" s="1" t="s">
        <v>9</v>
      </c>
      <c r="C22" s="1">
        <v>4</v>
      </c>
      <c r="D22" s="1">
        <v>3</v>
      </c>
      <c r="E22" s="1" t="s">
        <v>13</v>
      </c>
      <c r="F22" s="1" t="s">
        <v>11</v>
      </c>
      <c r="G22" s="1" t="s">
        <v>12</v>
      </c>
      <c r="H22" s="1">
        <v>4</v>
      </c>
      <c r="I22" s="1">
        <v>4</v>
      </c>
    </row>
    <row r="23" spans="1:9" x14ac:dyDescent="0.75">
      <c r="A23" s="2">
        <v>45862.929675925923</v>
      </c>
      <c r="B23" s="1" t="s">
        <v>9</v>
      </c>
      <c r="C23" s="1">
        <v>3</v>
      </c>
      <c r="D23" s="1">
        <v>3</v>
      </c>
      <c r="E23" s="1" t="s">
        <v>13</v>
      </c>
      <c r="F23" s="1" t="s">
        <v>11</v>
      </c>
      <c r="G23" s="1" t="s">
        <v>12</v>
      </c>
      <c r="H23" s="1">
        <v>4</v>
      </c>
      <c r="I23" s="1">
        <v>3</v>
      </c>
    </row>
    <row r="24" spans="1:9" x14ac:dyDescent="0.75">
      <c r="A24" s="2">
        <v>45862.929803240739</v>
      </c>
      <c r="B24" s="1" t="s">
        <v>9</v>
      </c>
      <c r="C24" s="1">
        <v>3</v>
      </c>
      <c r="D24" s="1">
        <v>3</v>
      </c>
      <c r="E24" s="1" t="s">
        <v>13</v>
      </c>
      <c r="F24" s="1" t="s">
        <v>11</v>
      </c>
      <c r="G24" s="1" t="s">
        <v>12</v>
      </c>
      <c r="H24" s="1">
        <v>4</v>
      </c>
      <c r="I24" s="1">
        <v>3</v>
      </c>
    </row>
    <row r="25" spans="1:9" x14ac:dyDescent="0.75">
      <c r="A25" s="2">
        <v>45862.929837962962</v>
      </c>
      <c r="B25" s="1" t="s">
        <v>9</v>
      </c>
      <c r="C25" s="1">
        <v>5</v>
      </c>
      <c r="D25" s="1">
        <v>1</v>
      </c>
      <c r="E25" s="1" t="s">
        <v>15</v>
      </c>
      <c r="F25" s="1" t="s">
        <v>11</v>
      </c>
      <c r="G25" s="1" t="s">
        <v>12</v>
      </c>
      <c r="H25" s="1">
        <v>5</v>
      </c>
      <c r="I25" s="1">
        <v>3</v>
      </c>
    </row>
    <row r="26" spans="1:9" x14ac:dyDescent="0.75">
      <c r="A26" s="2">
        <v>45862.929930555554</v>
      </c>
      <c r="B26" s="1" t="s">
        <v>9</v>
      </c>
      <c r="C26" s="1">
        <v>4</v>
      </c>
      <c r="D26" s="1">
        <v>5</v>
      </c>
      <c r="E26" s="1" t="s">
        <v>15</v>
      </c>
      <c r="F26" s="1" t="s">
        <v>11</v>
      </c>
      <c r="G26" s="1" t="s">
        <v>12</v>
      </c>
      <c r="H26" s="1">
        <v>4</v>
      </c>
      <c r="I26" s="1">
        <v>4</v>
      </c>
    </row>
    <row r="27" spans="1:9" x14ac:dyDescent="0.75">
      <c r="A27" s="2">
        <v>45862.930115740739</v>
      </c>
      <c r="B27" s="1" t="s">
        <v>9</v>
      </c>
      <c r="C27" s="1">
        <v>4</v>
      </c>
      <c r="D27" s="1">
        <v>3</v>
      </c>
      <c r="E27" s="1" t="s">
        <v>13</v>
      </c>
      <c r="F27" s="1" t="s">
        <v>11</v>
      </c>
      <c r="G27" s="1" t="s">
        <v>12</v>
      </c>
      <c r="H27" s="1">
        <v>4</v>
      </c>
      <c r="I27" s="1">
        <v>4</v>
      </c>
    </row>
    <row r="28" spans="1:9" x14ac:dyDescent="0.75">
      <c r="A28" s="2">
        <v>45862.930150462962</v>
      </c>
      <c r="B28" s="1" t="s">
        <v>9</v>
      </c>
      <c r="C28" s="1">
        <v>4</v>
      </c>
      <c r="D28" s="1">
        <v>5</v>
      </c>
      <c r="E28" s="1" t="s">
        <v>15</v>
      </c>
      <c r="F28" s="1" t="s">
        <v>11</v>
      </c>
      <c r="G28" s="1" t="s">
        <v>18</v>
      </c>
      <c r="H28" s="1">
        <v>4</v>
      </c>
      <c r="I28" s="1">
        <v>5</v>
      </c>
    </row>
    <row r="29" spans="1:9" x14ac:dyDescent="0.75">
      <c r="A29" s="2">
        <v>45862.930243055554</v>
      </c>
      <c r="B29" s="1" t="s">
        <v>19</v>
      </c>
      <c r="C29" s="1">
        <v>3</v>
      </c>
      <c r="D29" s="1">
        <v>4</v>
      </c>
      <c r="E29" s="1" t="s">
        <v>15</v>
      </c>
      <c r="F29" s="1" t="s">
        <v>11</v>
      </c>
      <c r="G29" s="1" t="s">
        <v>12</v>
      </c>
      <c r="H29" s="1">
        <v>3</v>
      </c>
      <c r="I29" s="1">
        <v>4</v>
      </c>
    </row>
    <row r="30" spans="1:9" x14ac:dyDescent="0.75">
      <c r="A30" s="2">
        <v>45862.930451388886</v>
      </c>
      <c r="B30" s="1" t="s">
        <v>9</v>
      </c>
      <c r="C30" s="1">
        <v>5</v>
      </c>
      <c r="D30" s="1">
        <v>1</v>
      </c>
      <c r="E30" s="1" t="s">
        <v>15</v>
      </c>
      <c r="F30" s="1" t="s">
        <v>14</v>
      </c>
      <c r="G30" s="1" t="s">
        <v>12</v>
      </c>
      <c r="H30" s="1">
        <v>4</v>
      </c>
      <c r="I30" s="1">
        <v>5</v>
      </c>
    </row>
    <row r="31" spans="1:9" x14ac:dyDescent="0.75">
      <c r="A31" s="2">
        <v>45862.930879629632</v>
      </c>
      <c r="B31" s="1" t="s">
        <v>9</v>
      </c>
      <c r="C31" s="1">
        <v>4</v>
      </c>
      <c r="D31" s="1">
        <v>3</v>
      </c>
      <c r="E31" s="1" t="s">
        <v>13</v>
      </c>
      <c r="F31" s="1" t="s">
        <v>11</v>
      </c>
      <c r="G31" s="1" t="s">
        <v>12</v>
      </c>
      <c r="H31" s="1">
        <v>5</v>
      </c>
      <c r="I31" s="1">
        <v>4</v>
      </c>
    </row>
    <row r="32" spans="1:9" x14ac:dyDescent="0.75">
      <c r="A32" s="2">
        <v>45862.931296296294</v>
      </c>
      <c r="B32" s="1" t="s">
        <v>9</v>
      </c>
      <c r="C32" s="1">
        <v>5</v>
      </c>
      <c r="D32" s="1">
        <v>5</v>
      </c>
      <c r="E32" s="1" t="s">
        <v>15</v>
      </c>
      <c r="F32" s="1" t="s">
        <v>16</v>
      </c>
      <c r="G32" s="1" t="s">
        <v>18</v>
      </c>
      <c r="H32" s="1">
        <v>5</v>
      </c>
      <c r="I32" s="1">
        <v>5</v>
      </c>
    </row>
    <row r="33" spans="1:9" x14ac:dyDescent="0.75">
      <c r="A33" s="2">
        <v>45862.932812500003</v>
      </c>
      <c r="B33" s="1" t="s">
        <v>9</v>
      </c>
      <c r="C33" s="1">
        <v>3</v>
      </c>
      <c r="D33" s="1">
        <v>1</v>
      </c>
      <c r="E33" s="1" t="s">
        <v>15</v>
      </c>
      <c r="F33" s="1" t="s">
        <v>16</v>
      </c>
      <c r="G33" s="1" t="s">
        <v>12</v>
      </c>
      <c r="H33" s="1">
        <v>4</v>
      </c>
      <c r="I33" s="1">
        <v>4</v>
      </c>
    </row>
    <row r="34" spans="1:9" x14ac:dyDescent="0.75">
      <c r="A34" s="2">
        <v>45862.933483796296</v>
      </c>
      <c r="B34" s="1" t="s">
        <v>9</v>
      </c>
      <c r="C34" s="1">
        <v>3</v>
      </c>
      <c r="D34" s="1">
        <v>2</v>
      </c>
      <c r="E34" s="1" t="s">
        <v>13</v>
      </c>
      <c r="F34" s="1" t="s">
        <v>16</v>
      </c>
      <c r="G34" s="1" t="s">
        <v>12</v>
      </c>
      <c r="H34" s="1">
        <v>4</v>
      </c>
      <c r="I34" s="1">
        <v>3</v>
      </c>
    </row>
    <row r="35" spans="1:9" x14ac:dyDescent="0.75">
      <c r="A35" s="2">
        <v>45862.933946759258</v>
      </c>
      <c r="B35" s="1" t="s">
        <v>9</v>
      </c>
      <c r="C35" s="1">
        <v>1</v>
      </c>
      <c r="D35" s="1">
        <v>1</v>
      </c>
      <c r="E35" s="1" t="s">
        <v>13</v>
      </c>
      <c r="F35" s="1" t="s">
        <v>11</v>
      </c>
      <c r="G35" s="1" t="s">
        <v>17</v>
      </c>
      <c r="H35" s="1">
        <v>1</v>
      </c>
      <c r="I35" s="1">
        <v>1</v>
      </c>
    </row>
    <row r="36" spans="1:9" x14ac:dyDescent="0.75">
      <c r="A36" s="2">
        <v>45862.934224537035</v>
      </c>
      <c r="B36" s="1" t="s">
        <v>9</v>
      </c>
      <c r="C36" s="1">
        <v>1</v>
      </c>
      <c r="D36" s="1">
        <v>1</v>
      </c>
      <c r="E36" s="1" t="s">
        <v>13</v>
      </c>
      <c r="F36" s="1" t="s">
        <v>14</v>
      </c>
      <c r="G36" s="1" t="s">
        <v>17</v>
      </c>
      <c r="H36" s="1">
        <v>4</v>
      </c>
      <c r="I36" s="1">
        <v>3</v>
      </c>
    </row>
    <row r="37" spans="1:9" x14ac:dyDescent="0.75">
      <c r="A37" s="2">
        <v>45862.934340277781</v>
      </c>
      <c r="B37" s="1" t="s">
        <v>9</v>
      </c>
      <c r="C37" s="1">
        <v>3</v>
      </c>
      <c r="D37" s="1">
        <v>4</v>
      </c>
      <c r="E37" s="1" t="s">
        <v>10</v>
      </c>
      <c r="F37" s="1" t="s">
        <v>11</v>
      </c>
      <c r="G37" s="1" t="s">
        <v>12</v>
      </c>
      <c r="H37" s="1">
        <v>5</v>
      </c>
      <c r="I37" s="1">
        <v>4</v>
      </c>
    </row>
    <row r="38" spans="1:9" x14ac:dyDescent="0.75">
      <c r="A38" s="2">
        <v>45862.934502314813</v>
      </c>
      <c r="B38" s="1" t="s">
        <v>9</v>
      </c>
      <c r="C38" s="1">
        <v>4</v>
      </c>
      <c r="D38" s="1">
        <v>5</v>
      </c>
      <c r="E38" s="1" t="s">
        <v>15</v>
      </c>
      <c r="F38" s="1" t="s">
        <v>16</v>
      </c>
      <c r="G38" s="1" t="s">
        <v>18</v>
      </c>
      <c r="H38" s="1">
        <v>2</v>
      </c>
      <c r="I38" s="1">
        <v>3</v>
      </c>
    </row>
    <row r="39" spans="1:9" x14ac:dyDescent="0.75">
      <c r="A39" s="2">
        <v>45862.936782407407</v>
      </c>
      <c r="B39" s="1" t="s">
        <v>9</v>
      </c>
      <c r="C39" s="1">
        <v>1</v>
      </c>
      <c r="D39" s="1">
        <v>4</v>
      </c>
      <c r="E39" s="1" t="s">
        <v>13</v>
      </c>
      <c r="F39" s="1" t="s">
        <v>11</v>
      </c>
      <c r="G39" s="1" t="s">
        <v>12</v>
      </c>
      <c r="H39" s="1">
        <v>4</v>
      </c>
      <c r="I39" s="1">
        <v>4</v>
      </c>
    </row>
    <row r="40" spans="1:9" x14ac:dyDescent="0.75">
      <c r="A40" s="2">
        <v>45862.937106481484</v>
      </c>
      <c r="B40" s="1" t="s">
        <v>9</v>
      </c>
      <c r="C40" s="1">
        <v>3</v>
      </c>
      <c r="D40" s="1">
        <v>4</v>
      </c>
      <c r="E40" s="1" t="s">
        <v>13</v>
      </c>
      <c r="F40" s="1" t="s">
        <v>11</v>
      </c>
      <c r="G40" s="1" t="s">
        <v>12</v>
      </c>
      <c r="H40" s="1">
        <v>3</v>
      </c>
      <c r="I40" s="1">
        <v>4</v>
      </c>
    </row>
    <row r="41" spans="1:9" x14ac:dyDescent="0.75">
      <c r="A41" s="2">
        <v>45862.937835648147</v>
      </c>
      <c r="B41" s="1" t="s">
        <v>9</v>
      </c>
      <c r="C41" s="1">
        <v>3</v>
      </c>
      <c r="D41" s="1">
        <v>2</v>
      </c>
      <c r="E41" s="1" t="s">
        <v>13</v>
      </c>
      <c r="F41" s="1" t="s">
        <v>14</v>
      </c>
      <c r="G41" s="1" t="s">
        <v>12</v>
      </c>
      <c r="H41" s="1">
        <v>3</v>
      </c>
      <c r="I41" s="1">
        <v>4</v>
      </c>
    </row>
    <row r="42" spans="1:9" x14ac:dyDescent="0.75">
      <c r="A42" s="2">
        <v>45862.939143518517</v>
      </c>
      <c r="B42" s="1" t="s">
        <v>9</v>
      </c>
      <c r="C42" s="1">
        <v>3</v>
      </c>
      <c r="D42" s="1">
        <v>4</v>
      </c>
      <c r="E42" s="1" t="s">
        <v>15</v>
      </c>
      <c r="F42" s="1" t="s">
        <v>11</v>
      </c>
      <c r="G42" s="1" t="s">
        <v>12</v>
      </c>
      <c r="H42" s="1">
        <v>5</v>
      </c>
      <c r="I42" s="1">
        <v>5</v>
      </c>
    </row>
    <row r="43" spans="1:9" x14ac:dyDescent="0.75">
      <c r="A43" s="2">
        <v>45862.939305555556</v>
      </c>
      <c r="B43" s="1" t="s">
        <v>20</v>
      </c>
      <c r="C43" s="1">
        <v>3</v>
      </c>
      <c r="D43" s="1">
        <v>5</v>
      </c>
      <c r="E43" s="1" t="s">
        <v>13</v>
      </c>
      <c r="F43" s="1" t="s">
        <v>11</v>
      </c>
      <c r="G43" s="1" t="s">
        <v>12</v>
      </c>
      <c r="H43" s="1">
        <v>3</v>
      </c>
      <c r="I43" s="1">
        <v>3</v>
      </c>
    </row>
    <row r="44" spans="1:9" x14ac:dyDescent="0.75">
      <c r="A44" s="2">
        <v>45862.939317129632</v>
      </c>
      <c r="B44" s="1" t="s">
        <v>9</v>
      </c>
      <c r="C44" s="1">
        <v>3</v>
      </c>
      <c r="D44" s="1">
        <v>5</v>
      </c>
      <c r="E44" s="1" t="s">
        <v>13</v>
      </c>
      <c r="F44" s="1" t="s">
        <v>11</v>
      </c>
      <c r="G44" s="1" t="s">
        <v>12</v>
      </c>
      <c r="H44" s="1">
        <v>4</v>
      </c>
      <c r="I44" s="1">
        <v>5</v>
      </c>
    </row>
    <row r="45" spans="1:9" x14ac:dyDescent="0.75">
      <c r="A45" s="2">
        <v>45862.940138888887</v>
      </c>
      <c r="B45" s="1" t="s">
        <v>9</v>
      </c>
      <c r="C45" s="1">
        <v>5</v>
      </c>
      <c r="D45" s="1">
        <v>4</v>
      </c>
      <c r="E45" s="1" t="s">
        <v>15</v>
      </c>
      <c r="F45" s="1" t="s">
        <v>16</v>
      </c>
      <c r="G45" s="1" t="s">
        <v>12</v>
      </c>
      <c r="H45" s="1">
        <v>5</v>
      </c>
      <c r="I45" s="1">
        <v>5</v>
      </c>
    </row>
    <row r="46" spans="1:9" x14ac:dyDescent="0.75">
      <c r="A46" s="2">
        <v>45862.940671296295</v>
      </c>
      <c r="B46" s="1" t="s">
        <v>9</v>
      </c>
      <c r="C46" s="1">
        <v>4</v>
      </c>
      <c r="D46" s="1">
        <v>2</v>
      </c>
      <c r="E46" s="1" t="s">
        <v>10</v>
      </c>
      <c r="F46" s="1" t="s">
        <v>11</v>
      </c>
      <c r="G46" s="1" t="s">
        <v>12</v>
      </c>
      <c r="H46" s="1">
        <v>2</v>
      </c>
      <c r="I46" s="1">
        <v>2</v>
      </c>
    </row>
    <row r="47" spans="1:9" x14ac:dyDescent="0.75">
      <c r="A47" s="2">
        <v>45862.940752314818</v>
      </c>
      <c r="B47" s="1" t="s">
        <v>9</v>
      </c>
      <c r="C47" s="1">
        <v>3</v>
      </c>
      <c r="D47" s="1">
        <v>2</v>
      </c>
      <c r="E47" s="1" t="s">
        <v>13</v>
      </c>
      <c r="F47" s="1" t="s">
        <v>11</v>
      </c>
      <c r="G47" s="1" t="s">
        <v>12</v>
      </c>
      <c r="H47" s="1">
        <v>4</v>
      </c>
      <c r="I47" s="1">
        <v>3</v>
      </c>
    </row>
    <row r="48" spans="1:9" x14ac:dyDescent="0.75">
      <c r="A48" s="2">
        <v>45862.940891203703</v>
      </c>
      <c r="B48" s="1" t="s">
        <v>9</v>
      </c>
      <c r="C48" s="1">
        <v>5</v>
      </c>
      <c r="D48" s="1">
        <v>5</v>
      </c>
      <c r="E48" s="1" t="s">
        <v>10</v>
      </c>
      <c r="F48" s="1" t="s">
        <v>16</v>
      </c>
      <c r="G48" s="1" t="s">
        <v>17</v>
      </c>
      <c r="H48" s="1">
        <v>4</v>
      </c>
      <c r="I48" s="1">
        <v>5</v>
      </c>
    </row>
    <row r="49" spans="1:9" x14ac:dyDescent="0.75">
      <c r="A49" s="2">
        <v>45862.943599537037</v>
      </c>
      <c r="B49" s="1" t="s">
        <v>9</v>
      </c>
      <c r="C49" s="1">
        <v>2</v>
      </c>
      <c r="D49" s="1">
        <v>4</v>
      </c>
      <c r="E49" s="1" t="s">
        <v>13</v>
      </c>
      <c r="F49" s="1" t="s">
        <v>11</v>
      </c>
      <c r="G49" s="1" t="s">
        <v>12</v>
      </c>
      <c r="H49" s="1">
        <v>4</v>
      </c>
      <c r="I49" s="1">
        <v>4</v>
      </c>
    </row>
    <row r="50" spans="1:9" x14ac:dyDescent="0.75">
      <c r="A50" s="2">
        <v>45862.944166666668</v>
      </c>
      <c r="B50" s="1" t="s">
        <v>9</v>
      </c>
      <c r="C50" s="1">
        <v>3</v>
      </c>
      <c r="D50" s="1">
        <v>4</v>
      </c>
      <c r="E50" s="1" t="s">
        <v>10</v>
      </c>
      <c r="F50" s="1" t="s">
        <v>16</v>
      </c>
      <c r="G50" s="1" t="s">
        <v>18</v>
      </c>
      <c r="H50" s="1">
        <v>4</v>
      </c>
      <c r="I50" s="1">
        <v>5</v>
      </c>
    </row>
    <row r="51" spans="1:9" x14ac:dyDescent="0.75">
      <c r="A51" s="2">
        <v>45862.945613425924</v>
      </c>
      <c r="B51" s="1" t="s">
        <v>9</v>
      </c>
      <c r="C51" s="1">
        <v>2</v>
      </c>
      <c r="D51" s="1">
        <v>3</v>
      </c>
      <c r="E51" s="1" t="s">
        <v>15</v>
      </c>
      <c r="F51" s="1" t="s">
        <v>14</v>
      </c>
      <c r="G51" s="1" t="s">
        <v>12</v>
      </c>
      <c r="H51" s="1">
        <v>2</v>
      </c>
      <c r="I51" s="1">
        <v>3</v>
      </c>
    </row>
    <row r="52" spans="1:9" x14ac:dyDescent="0.75">
      <c r="A52" s="2">
        <v>45862.945960648147</v>
      </c>
      <c r="B52" s="1" t="s">
        <v>9</v>
      </c>
      <c r="C52" s="1">
        <v>3</v>
      </c>
      <c r="D52" s="1">
        <v>3</v>
      </c>
      <c r="E52" s="1" t="s">
        <v>13</v>
      </c>
      <c r="F52" s="1" t="s">
        <v>11</v>
      </c>
      <c r="G52" s="1" t="s">
        <v>12</v>
      </c>
      <c r="H52" s="1">
        <v>4</v>
      </c>
      <c r="I52" s="1">
        <v>3</v>
      </c>
    </row>
    <row r="53" spans="1:9" x14ac:dyDescent="0.75">
      <c r="A53" s="2">
        <v>45862.946122685185</v>
      </c>
      <c r="B53" s="1" t="s">
        <v>9</v>
      </c>
      <c r="C53" s="1">
        <v>4</v>
      </c>
      <c r="D53" s="1">
        <v>4</v>
      </c>
      <c r="E53" s="1" t="s">
        <v>10</v>
      </c>
      <c r="F53" s="1" t="s">
        <v>11</v>
      </c>
      <c r="G53" s="1" t="s">
        <v>12</v>
      </c>
      <c r="H53" s="1">
        <v>5</v>
      </c>
      <c r="I53" s="1">
        <v>4</v>
      </c>
    </row>
    <row r="54" spans="1:9" x14ac:dyDescent="0.75">
      <c r="A54" s="2">
        <v>45862.946388888886</v>
      </c>
      <c r="B54" s="1" t="s">
        <v>9</v>
      </c>
      <c r="C54" s="1">
        <v>4</v>
      </c>
      <c r="D54" s="1">
        <v>5</v>
      </c>
      <c r="E54" s="1" t="s">
        <v>13</v>
      </c>
      <c r="F54" s="1" t="s">
        <v>11</v>
      </c>
      <c r="G54" s="1" t="s">
        <v>12</v>
      </c>
      <c r="H54" s="1">
        <v>4</v>
      </c>
      <c r="I54" s="1">
        <v>4</v>
      </c>
    </row>
    <row r="55" spans="1:9" x14ac:dyDescent="0.75">
      <c r="A55" s="2">
        <v>45862.94730324074</v>
      </c>
      <c r="B55" s="1" t="s">
        <v>9</v>
      </c>
      <c r="C55" s="1">
        <v>3</v>
      </c>
      <c r="D55" s="1">
        <v>3</v>
      </c>
      <c r="E55" s="1" t="s">
        <v>15</v>
      </c>
      <c r="F55" s="1" t="s">
        <v>16</v>
      </c>
      <c r="G55" s="1" t="s">
        <v>18</v>
      </c>
      <c r="H55" s="1">
        <v>3</v>
      </c>
      <c r="I55" s="1">
        <v>3</v>
      </c>
    </row>
    <row r="56" spans="1:9" x14ac:dyDescent="0.75">
      <c r="A56" s="2">
        <v>45862.947800925926</v>
      </c>
      <c r="B56" s="1" t="s">
        <v>9</v>
      </c>
      <c r="C56" s="1">
        <v>3</v>
      </c>
      <c r="D56" s="1">
        <v>1</v>
      </c>
      <c r="E56" s="1" t="s">
        <v>10</v>
      </c>
      <c r="F56" s="1" t="s">
        <v>11</v>
      </c>
      <c r="G56" s="1" t="s">
        <v>18</v>
      </c>
      <c r="H56" s="1">
        <v>4</v>
      </c>
      <c r="I56" s="1">
        <v>4</v>
      </c>
    </row>
    <row r="57" spans="1:9" x14ac:dyDescent="0.75">
      <c r="A57" s="2">
        <v>45862.959050925929</v>
      </c>
      <c r="B57" s="1" t="s">
        <v>9</v>
      </c>
      <c r="C57" s="1">
        <v>3</v>
      </c>
      <c r="D57" s="1">
        <v>2</v>
      </c>
      <c r="E57" s="1" t="s">
        <v>13</v>
      </c>
      <c r="F57" s="1" t="s">
        <v>11</v>
      </c>
      <c r="G57" s="1" t="s">
        <v>12</v>
      </c>
      <c r="H57" s="1">
        <v>5</v>
      </c>
      <c r="I57" s="1">
        <v>4</v>
      </c>
    </row>
    <row r="58" spans="1:9" x14ac:dyDescent="0.75">
      <c r="A58" s="2">
        <v>45862.960289351853</v>
      </c>
      <c r="B58" s="1" t="s">
        <v>20</v>
      </c>
      <c r="C58" s="1">
        <v>4</v>
      </c>
      <c r="D58" s="1">
        <v>4</v>
      </c>
      <c r="E58" s="1" t="s">
        <v>15</v>
      </c>
      <c r="F58" s="1" t="s">
        <v>11</v>
      </c>
      <c r="G58" s="1" t="s">
        <v>17</v>
      </c>
      <c r="H58" s="1">
        <v>4</v>
      </c>
      <c r="I58" s="1">
        <v>4</v>
      </c>
    </row>
    <row r="59" spans="1:9" x14ac:dyDescent="0.75">
      <c r="A59" s="2">
        <v>45862.960532407407</v>
      </c>
      <c r="B59" s="1" t="s">
        <v>9</v>
      </c>
      <c r="C59" s="1">
        <v>3</v>
      </c>
      <c r="D59" s="1">
        <v>1</v>
      </c>
      <c r="E59" s="1" t="s">
        <v>10</v>
      </c>
      <c r="F59" s="1" t="s">
        <v>11</v>
      </c>
      <c r="G59" s="1" t="s">
        <v>12</v>
      </c>
      <c r="H59" s="1">
        <v>4</v>
      </c>
      <c r="I59" s="1">
        <v>3</v>
      </c>
    </row>
    <row r="60" spans="1:9" x14ac:dyDescent="0.75">
      <c r="A60" s="2">
        <v>45862.961122685185</v>
      </c>
      <c r="B60" s="1" t="s">
        <v>9</v>
      </c>
      <c r="C60" s="1">
        <v>2</v>
      </c>
      <c r="D60" s="1">
        <v>3</v>
      </c>
      <c r="E60" s="1" t="s">
        <v>15</v>
      </c>
      <c r="F60" s="1" t="s">
        <v>11</v>
      </c>
      <c r="G60" s="1" t="s">
        <v>12</v>
      </c>
      <c r="H60" s="1">
        <v>3</v>
      </c>
      <c r="I60" s="1">
        <v>5</v>
      </c>
    </row>
    <row r="61" spans="1:9" x14ac:dyDescent="0.75">
      <c r="A61" s="2">
        <v>45862.969305555554</v>
      </c>
      <c r="B61" s="1" t="s">
        <v>9</v>
      </c>
      <c r="C61" s="1">
        <v>3</v>
      </c>
      <c r="D61" s="1">
        <v>1</v>
      </c>
      <c r="E61" s="1" t="s">
        <v>10</v>
      </c>
      <c r="F61" s="1" t="s">
        <v>11</v>
      </c>
      <c r="G61" s="1" t="s">
        <v>12</v>
      </c>
      <c r="H61" s="1">
        <v>5</v>
      </c>
      <c r="I61" s="1">
        <v>4</v>
      </c>
    </row>
    <row r="62" spans="1:9" x14ac:dyDescent="0.75">
      <c r="A62" s="2">
        <v>45862.973807870374</v>
      </c>
      <c r="B62" s="1" t="s">
        <v>9</v>
      </c>
      <c r="C62" s="1">
        <v>2</v>
      </c>
      <c r="D62" s="1">
        <v>1</v>
      </c>
      <c r="E62" s="1" t="s">
        <v>13</v>
      </c>
      <c r="F62" s="1" t="s">
        <v>16</v>
      </c>
      <c r="G62" s="1" t="s">
        <v>12</v>
      </c>
      <c r="H62" s="1">
        <v>3</v>
      </c>
      <c r="I62" s="1">
        <v>2</v>
      </c>
    </row>
    <row r="63" spans="1:9" x14ac:dyDescent="0.75">
      <c r="A63" s="2">
        <v>45862.979872685188</v>
      </c>
      <c r="B63" s="1" t="s">
        <v>9</v>
      </c>
      <c r="C63" s="1">
        <v>2</v>
      </c>
      <c r="D63" s="1">
        <v>3</v>
      </c>
      <c r="E63" s="1" t="s">
        <v>13</v>
      </c>
      <c r="F63" s="1" t="s">
        <v>11</v>
      </c>
      <c r="G63" s="1" t="s">
        <v>12</v>
      </c>
      <c r="H63" s="1">
        <v>4</v>
      </c>
      <c r="I63" s="1">
        <v>4</v>
      </c>
    </row>
    <row r="64" spans="1:9" x14ac:dyDescent="0.75">
      <c r="A64" s="2">
        <v>45862.980856481481</v>
      </c>
      <c r="B64" s="1" t="s">
        <v>9</v>
      </c>
      <c r="C64" s="1">
        <v>4</v>
      </c>
      <c r="D64" s="1">
        <v>4</v>
      </c>
      <c r="E64" s="1" t="s">
        <v>15</v>
      </c>
      <c r="F64" s="1" t="s">
        <v>16</v>
      </c>
      <c r="G64" s="1" t="s">
        <v>12</v>
      </c>
      <c r="H64" s="1">
        <v>4</v>
      </c>
      <c r="I64" s="1">
        <v>4</v>
      </c>
    </row>
    <row r="65" spans="1:9" x14ac:dyDescent="0.75">
      <c r="A65" s="2">
        <v>45862.983587962961</v>
      </c>
      <c r="B65" s="1" t="s">
        <v>9</v>
      </c>
      <c r="C65" s="1">
        <v>3</v>
      </c>
      <c r="D65" s="1">
        <v>3</v>
      </c>
      <c r="E65" s="1" t="s">
        <v>15</v>
      </c>
      <c r="F65" s="1" t="s">
        <v>11</v>
      </c>
      <c r="G65" s="1" t="s">
        <v>12</v>
      </c>
      <c r="H65" s="1">
        <v>3</v>
      </c>
      <c r="I65" s="1">
        <v>3</v>
      </c>
    </row>
    <row r="66" spans="1:9" x14ac:dyDescent="0.75">
      <c r="A66" s="2">
        <v>45862.989293981482</v>
      </c>
      <c r="B66" s="1" t="s">
        <v>9</v>
      </c>
      <c r="C66" s="1">
        <v>3</v>
      </c>
      <c r="D66" s="1">
        <v>2</v>
      </c>
      <c r="E66" s="1" t="s">
        <v>13</v>
      </c>
      <c r="F66" s="1" t="s">
        <v>16</v>
      </c>
      <c r="G66" s="1" t="s">
        <v>12</v>
      </c>
      <c r="H66" s="1">
        <v>2</v>
      </c>
      <c r="I66" s="1">
        <v>2</v>
      </c>
    </row>
    <row r="67" spans="1:9" x14ac:dyDescent="0.75">
      <c r="A67" s="2">
        <v>45863.007060185184</v>
      </c>
      <c r="B67" s="1" t="s">
        <v>9</v>
      </c>
      <c r="C67" s="1">
        <v>4</v>
      </c>
      <c r="D67" s="1">
        <v>5</v>
      </c>
      <c r="E67" s="1" t="s">
        <v>15</v>
      </c>
      <c r="F67" s="1" t="s">
        <v>16</v>
      </c>
      <c r="G67" s="1" t="s">
        <v>12</v>
      </c>
      <c r="H67" s="1">
        <v>2</v>
      </c>
      <c r="I67" s="1">
        <v>5</v>
      </c>
    </row>
    <row r="68" spans="1:9" x14ac:dyDescent="0.75">
      <c r="A68" s="2">
        <v>45863.009560185186</v>
      </c>
      <c r="B68" s="1" t="s">
        <v>9</v>
      </c>
      <c r="C68" s="1">
        <v>4</v>
      </c>
      <c r="D68" s="1">
        <v>3</v>
      </c>
      <c r="E68" s="1" t="s">
        <v>13</v>
      </c>
      <c r="F68" s="1" t="s">
        <v>11</v>
      </c>
      <c r="G68" s="1" t="s">
        <v>12</v>
      </c>
      <c r="H68" s="1">
        <v>4</v>
      </c>
      <c r="I68" s="1">
        <v>5</v>
      </c>
    </row>
    <row r="69" spans="1:9" x14ac:dyDescent="0.75">
      <c r="A69" s="2">
        <v>45863.014930555553</v>
      </c>
      <c r="B69" s="1" t="s">
        <v>9</v>
      </c>
      <c r="C69" s="1">
        <v>3</v>
      </c>
      <c r="D69" s="1">
        <v>5</v>
      </c>
      <c r="E69" s="1" t="s">
        <v>15</v>
      </c>
      <c r="F69" s="1" t="s">
        <v>16</v>
      </c>
      <c r="G69" s="1" t="s">
        <v>12</v>
      </c>
      <c r="H69" s="1">
        <v>3</v>
      </c>
      <c r="I69" s="1">
        <v>4</v>
      </c>
    </row>
    <row r="70" spans="1:9" x14ac:dyDescent="0.75">
      <c r="A70" s="2">
        <v>45863.015023148146</v>
      </c>
      <c r="B70" s="1" t="s">
        <v>9</v>
      </c>
      <c r="C70" s="1">
        <v>4</v>
      </c>
      <c r="D70" s="1">
        <v>2</v>
      </c>
      <c r="E70" s="1" t="s">
        <v>15</v>
      </c>
      <c r="F70" s="1" t="s">
        <v>11</v>
      </c>
      <c r="G70" s="1" t="s">
        <v>12</v>
      </c>
      <c r="H70" s="1">
        <v>1</v>
      </c>
      <c r="I70" s="1">
        <v>1</v>
      </c>
    </row>
    <row r="71" spans="1:9" x14ac:dyDescent="0.75">
      <c r="A71" s="2">
        <v>45863.342372685183</v>
      </c>
      <c r="B71" s="1" t="s">
        <v>9</v>
      </c>
      <c r="C71" s="1">
        <v>3</v>
      </c>
      <c r="D71" s="1">
        <v>3</v>
      </c>
      <c r="E71" s="1" t="s">
        <v>15</v>
      </c>
      <c r="F71" s="1" t="s">
        <v>11</v>
      </c>
      <c r="G71" s="1" t="s">
        <v>12</v>
      </c>
      <c r="H71" s="1">
        <v>3</v>
      </c>
      <c r="I71" s="1">
        <v>4</v>
      </c>
    </row>
    <row r="72" spans="1:9" x14ac:dyDescent="0.75">
      <c r="A72" s="2">
        <v>45863.362754629627</v>
      </c>
      <c r="B72" s="1" t="s">
        <v>9</v>
      </c>
      <c r="C72" s="1">
        <v>4</v>
      </c>
      <c r="D72" s="1">
        <v>3</v>
      </c>
      <c r="E72" s="1" t="s">
        <v>15</v>
      </c>
      <c r="F72" s="1" t="s">
        <v>11</v>
      </c>
      <c r="G72" s="1" t="s">
        <v>12</v>
      </c>
      <c r="H72" s="1">
        <v>4</v>
      </c>
      <c r="I72" s="1">
        <v>4</v>
      </c>
    </row>
    <row r="73" spans="1:9" x14ac:dyDescent="0.75">
      <c r="A73" s="2">
        <v>45863.437638888892</v>
      </c>
      <c r="B73" s="1" t="s">
        <v>9</v>
      </c>
      <c r="C73" s="1">
        <v>3</v>
      </c>
      <c r="D73" s="1">
        <v>3</v>
      </c>
      <c r="E73" s="1" t="s">
        <v>15</v>
      </c>
      <c r="F73" s="1" t="s">
        <v>11</v>
      </c>
      <c r="G73" s="1" t="s">
        <v>12</v>
      </c>
      <c r="H73" s="1">
        <v>4</v>
      </c>
      <c r="I73" s="1">
        <v>4</v>
      </c>
    </row>
    <row r="74" spans="1:9" x14ac:dyDescent="0.75">
      <c r="A74" s="2">
        <v>45863.442812499998</v>
      </c>
      <c r="B74" s="1" t="s">
        <v>9</v>
      </c>
      <c r="C74" s="1">
        <v>1</v>
      </c>
      <c r="D74" s="1">
        <v>1</v>
      </c>
      <c r="E74" s="1" t="s">
        <v>10</v>
      </c>
      <c r="F74" s="1" t="s">
        <v>11</v>
      </c>
      <c r="G74" s="1" t="s">
        <v>12</v>
      </c>
      <c r="H74" s="1">
        <v>1</v>
      </c>
      <c r="I74" s="1">
        <v>1</v>
      </c>
    </row>
    <row r="75" spans="1:9" x14ac:dyDescent="0.75">
      <c r="A75" s="2">
        <v>45863.446805555555</v>
      </c>
      <c r="B75" s="1" t="s">
        <v>9</v>
      </c>
      <c r="C75" s="1">
        <v>3</v>
      </c>
      <c r="D75" s="1">
        <v>3</v>
      </c>
      <c r="E75" s="1" t="s">
        <v>15</v>
      </c>
      <c r="F75" s="1" t="s">
        <v>11</v>
      </c>
      <c r="G75" s="1" t="s">
        <v>12</v>
      </c>
      <c r="H75" s="1">
        <v>4</v>
      </c>
      <c r="I75" s="1">
        <v>4</v>
      </c>
    </row>
    <row r="76" spans="1:9" x14ac:dyDescent="0.75">
      <c r="A76" s="2">
        <v>45863.458449074074</v>
      </c>
      <c r="B76" s="1" t="s">
        <v>9</v>
      </c>
      <c r="C76" s="1">
        <v>5</v>
      </c>
      <c r="D76" s="1">
        <v>5</v>
      </c>
      <c r="E76" s="1" t="s">
        <v>10</v>
      </c>
      <c r="F76" s="1" t="s">
        <v>16</v>
      </c>
      <c r="G76" s="1" t="s">
        <v>12</v>
      </c>
      <c r="H76" s="1">
        <v>3</v>
      </c>
      <c r="I76" s="1">
        <v>5</v>
      </c>
    </row>
    <row r="77" spans="1:9" x14ac:dyDescent="0.75">
      <c r="A77" s="2">
        <v>45863.462870370371</v>
      </c>
      <c r="B77" s="1" t="s">
        <v>9</v>
      </c>
      <c r="C77" s="1">
        <v>3</v>
      </c>
      <c r="D77" s="1">
        <v>3</v>
      </c>
      <c r="E77" s="1" t="s">
        <v>13</v>
      </c>
      <c r="F77" s="1" t="s">
        <v>11</v>
      </c>
      <c r="G77" s="1" t="s">
        <v>12</v>
      </c>
      <c r="H77" s="1">
        <v>3</v>
      </c>
      <c r="I77" s="1">
        <v>3</v>
      </c>
    </row>
    <row r="78" spans="1:9" x14ac:dyDescent="0.75">
      <c r="A78" s="2">
        <v>45863.462962962964</v>
      </c>
      <c r="B78" s="1" t="s">
        <v>9</v>
      </c>
      <c r="C78" s="1">
        <v>2</v>
      </c>
      <c r="D78" s="1">
        <v>3</v>
      </c>
      <c r="E78" s="1" t="s">
        <v>10</v>
      </c>
      <c r="F78" s="1" t="s">
        <v>14</v>
      </c>
      <c r="G78" s="1" t="s">
        <v>12</v>
      </c>
      <c r="H78" s="1">
        <v>2</v>
      </c>
      <c r="I78" s="1">
        <v>3</v>
      </c>
    </row>
    <row r="79" spans="1:9" x14ac:dyDescent="0.75">
      <c r="A79" s="2">
        <v>45863.491249999999</v>
      </c>
      <c r="B79" s="1" t="s">
        <v>9</v>
      </c>
      <c r="C79" s="1">
        <v>3</v>
      </c>
      <c r="D79" s="1">
        <v>4</v>
      </c>
      <c r="E79" s="1" t="s">
        <v>13</v>
      </c>
      <c r="F79" s="1" t="s">
        <v>11</v>
      </c>
      <c r="G79" s="1" t="s">
        <v>12</v>
      </c>
      <c r="H79" s="1">
        <v>3</v>
      </c>
      <c r="I79" s="1">
        <v>3</v>
      </c>
    </row>
    <row r="80" spans="1:9" x14ac:dyDescent="0.75">
      <c r="A80" s="2">
        <v>45863.553981481484</v>
      </c>
      <c r="B80" s="1" t="s">
        <v>20</v>
      </c>
      <c r="C80" s="1">
        <v>3</v>
      </c>
      <c r="D80" s="1">
        <v>2</v>
      </c>
      <c r="E80" s="1" t="s">
        <v>13</v>
      </c>
      <c r="F80" s="1" t="s">
        <v>11</v>
      </c>
      <c r="G80" s="1" t="s">
        <v>12</v>
      </c>
      <c r="H80" s="1">
        <v>5</v>
      </c>
      <c r="I80" s="1">
        <v>4</v>
      </c>
    </row>
    <row r="81" spans="1:9" x14ac:dyDescent="0.75">
      <c r="A81" s="2">
        <v>45863.554710648146</v>
      </c>
      <c r="B81" s="1" t="s">
        <v>9</v>
      </c>
      <c r="C81" s="1">
        <v>3</v>
      </c>
      <c r="D81" s="1">
        <v>3</v>
      </c>
      <c r="E81" s="1" t="s">
        <v>13</v>
      </c>
      <c r="F81" s="1" t="s">
        <v>11</v>
      </c>
      <c r="G81" s="1" t="s">
        <v>17</v>
      </c>
      <c r="H81" s="1">
        <v>3</v>
      </c>
      <c r="I81" s="1">
        <v>5</v>
      </c>
    </row>
    <row r="82" spans="1:9" x14ac:dyDescent="0.75">
      <c r="A82" s="2">
        <v>45863.568171296298</v>
      </c>
      <c r="B82" s="1" t="s">
        <v>9</v>
      </c>
      <c r="C82" s="1">
        <v>2</v>
      </c>
      <c r="D82" s="1">
        <v>2</v>
      </c>
      <c r="E82" s="1" t="s">
        <v>13</v>
      </c>
      <c r="F82" s="1" t="s">
        <v>11</v>
      </c>
      <c r="G82" s="1" t="s">
        <v>12</v>
      </c>
      <c r="H82" s="1">
        <v>1</v>
      </c>
      <c r="I82" s="1">
        <v>1</v>
      </c>
    </row>
    <row r="83" spans="1:9" x14ac:dyDescent="0.75">
      <c r="A83" s="2">
        <v>45863.667037037034</v>
      </c>
      <c r="B83" s="1" t="s">
        <v>9</v>
      </c>
      <c r="C83" s="1">
        <v>5</v>
      </c>
      <c r="D83" s="1">
        <v>3</v>
      </c>
      <c r="E83" s="1" t="s">
        <v>13</v>
      </c>
      <c r="F83" s="1" t="s">
        <v>16</v>
      </c>
      <c r="G83" s="1" t="s">
        <v>12</v>
      </c>
      <c r="H83" s="1">
        <v>4</v>
      </c>
      <c r="I83" s="1">
        <v>5</v>
      </c>
    </row>
    <row r="84" spans="1:9" x14ac:dyDescent="0.75">
      <c r="A84" s="2">
        <v>45863.66988425926</v>
      </c>
      <c r="B84" s="1" t="s">
        <v>9</v>
      </c>
      <c r="C84" s="1">
        <v>3</v>
      </c>
      <c r="D84" s="1">
        <v>2</v>
      </c>
      <c r="E84" s="1" t="s">
        <v>13</v>
      </c>
      <c r="F84" s="1" t="s">
        <v>11</v>
      </c>
      <c r="G84" s="1" t="s">
        <v>12</v>
      </c>
      <c r="H84" s="1">
        <v>3</v>
      </c>
      <c r="I84" s="1">
        <v>4</v>
      </c>
    </row>
    <row r="85" spans="1:9" x14ac:dyDescent="0.75">
      <c r="A85" s="2">
        <v>45863.688715277778</v>
      </c>
      <c r="B85" s="1" t="s">
        <v>20</v>
      </c>
      <c r="C85" s="1">
        <v>1</v>
      </c>
      <c r="D85" s="1">
        <v>5</v>
      </c>
      <c r="E85" s="1" t="s">
        <v>13</v>
      </c>
      <c r="F85" s="1" t="s">
        <v>11</v>
      </c>
      <c r="G85" s="1" t="s">
        <v>12</v>
      </c>
      <c r="H85" s="1">
        <v>5</v>
      </c>
      <c r="I85" s="1">
        <v>3</v>
      </c>
    </row>
    <row r="86" spans="1:9" x14ac:dyDescent="0.75">
      <c r="A86" s="2">
        <v>45863.713888888888</v>
      </c>
      <c r="B86" s="1" t="s">
        <v>9</v>
      </c>
      <c r="C86" s="1">
        <v>2</v>
      </c>
      <c r="D86" s="1">
        <v>2</v>
      </c>
      <c r="E86" s="1" t="s">
        <v>15</v>
      </c>
      <c r="F86" s="1" t="s">
        <v>14</v>
      </c>
      <c r="G86" s="1" t="s">
        <v>12</v>
      </c>
      <c r="H86" s="1">
        <v>5</v>
      </c>
      <c r="I86" s="1">
        <v>4</v>
      </c>
    </row>
    <row r="87" spans="1:9" x14ac:dyDescent="0.75">
      <c r="A87" s="2">
        <v>45863.743946759256</v>
      </c>
      <c r="B87" s="1" t="s">
        <v>20</v>
      </c>
      <c r="C87" s="1">
        <v>4</v>
      </c>
      <c r="D87" s="1">
        <v>4</v>
      </c>
      <c r="E87" s="1" t="s">
        <v>10</v>
      </c>
      <c r="F87" s="1" t="s">
        <v>11</v>
      </c>
      <c r="G87" s="1" t="s">
        <v>12</v>
      </c>
      <c r="H87" s="1">
        <v>4</v>
      </c>
      <c r="I87" s="1">
        <v>3</v>
      </c>
    </row>
    <row r="88" spans="1:9" x14ac:dyDescent="0.75">
      <c r="A88" s="2">
        <v>45863.762939814813</v>
      </c>
      <c r="B88" s="1" t="s">
        <v>9</v>
      </c>
      <c r="C88" s="1">
        <v>2</v>
      </c>
      <c r="D88" s="1">
        <v>3</v>
      </c>
      <c r="E88" s="1" t="s">
        <v>13</v>
      </c>
      <c r="F88" s="1" t="s">
        <v>14</v>
      </c>
      <c r="G88" s="1" t="s">
        <v>12</v>
      </c>
      <c r="H88" s="1">
        <v>3</v>
      </c>
      <c r="I88" s="1">
        <v>3</v>
      </c>
    </row>
    <row r="89" spans="1:9" x14ac:dyDescent="0.75">
      <c r="A89" s="2">
        <v>45863.76902777778</v>
      </c>
      <c r="B89" s="1" t="s">
        <v>9</v>
      </c>
      <c r="C89" s="1">
        <v>2</v>
      </c>
      <c r="D89" s="1">
        <v>3</v>
      </c>
      <c r="E89" s="1" t="s">
        <v>13</v>
      </c>
      <c r="F89" s="1" t="s">
        <v>11</v>
      </c>
      <c r="G89" s="1" t="s">
        <v>17</v>
      </c>
      <c r="H89" s="1">
        <v>3</v>
      </c>
      <c r="I89" s="1">
        <v>3</v>
      </c>
    </row>
    <row r="90" spans="1:9" x14ac:dyDescent="0.75">
      <c r="A90" s="2">
        <v>45863.815960648149</v>
      </c>
      <c r="B90" s="1" t="s">
        <v>9</v>
      </c>
      <c r="C90" s="1">
        <v>2</v>
      </c>
      <c r="D90" s="1">
        <v>5</v>
      </c>
      <c r="E90" s="1" t="s">
        <v>13</v>
      </c>
      <c r="F90" s="1" t="s">
        <v>14</v>
      </c>
      <c r="G90" s="1" t="s">
        <v>12</v>
      </c>
      <c r="H90" s="1">
        <v>4</v>
      </c>
      <c r="I90" s="1">
        <v>5</v>
      </c>
    </row>
    <row r="91" spans="1:9" x14ac:dyDescent="0.75">
      <c r="A91" s="2">
        <v>45863.859629629631</v>
      </c>
      <c r="B91" s="1" t="s">
        <v>20</v>
      </c>
      <c r="C91" s="1">
        <v>2</v>
      </c>
      <c r="D91" s="1">
        <v>2</v>
      </c>
      <c r="E91" s="1" t="s">
        <v>10</v>
      </c>
      <c r="F91" s="1" t="s">
        <v>11</v>
      </c>
      <c r="G91" s="1" t="s">
        <v>12</v>
      </c>
      <c r="H91" s="1">
        <v>4</v>
      </c>
      <c r="I91" s="1">
        <v>4</v>
      </c>
    </row>
    <row r="92" spans="1:9" x14ac:dyDescent="0.75">
      <c r="A92" s="2">
        <v>45863.982152777775</v>
      </c>
      <c r="B92" s="1" t="s">
        <v>9</v>
      </c>
      <c r="C92" s="1">
        <v>3</v>
      </c>
      <c r="D92" s="1">
        <v>3</v>
      </c>
      <c r="E92" s="1" t="s">
        <v>13</v>
      </c>
      <c r="F92" s="1" t="s">
        <v>11</v>
      </c>
      <c r="G92" s="1" t="s">
        <v>18</v>
      </c>
      <c r="H92" s="1">
        <v>4</v>
      </c>
      <c r="I92" s="1">
        <v>4</v>
      </c>
    </row>
    <row r="93" spans="1:9" x14ac:dyDescent="0.75">
      <c r="A93" s="2">
        <v>45863.985590277778</v>
      </c>
      <c r="B93" s="1" t="s">
        <v>9</v>
      </c>
      <c r="C93" s="1">
        <v>2</v>
      </c>
      <c r="D93" s="1">
        <v>2</v>
      </c>
      <c r="E93" s="1" t="s">
        <v>13</v>
      </c>
      <c r="F93" s="1" t="s">
        <v>11</v>
      </c>
      <c r="G93" s="1" t="s">
        <v>12</v>
      </c>
      <c r="H93" s="1">
        <v>4</v>
      </c>
      <c r="I93" s="1">
        <v>3</v>
      </c>
    </row>
    <row r="94" spans="1:9" x14ac:dyDescent="0.75">
      <c r="A94" s="2">
        <v>45864.309525462966</v>
      </c>
      <c r="B94" s="1" t="s">
        <v>19</v>
      </c>
      <c r="C94" s="1">
        <v>4</v>
      </c>
      <c r="D94" s="1">
        <v>5</v>
      </c>
      <c r="E94" s="1" t="s">
        <v>13</v>
      </c>
      <c r="F94" s="1" t="s">
        <v>11</v>
      </c>
      <c r="G94" s="1" t="s">
        <v>12</v>
      </c>
      <c r="H94" s="1">
        <v>4</v>
      </c>
      <c r="I94" s="1">
        <v>5</v>
      </c>
    </row>
    <row r="95" spans="1:9" x14ac:dyDescent="0.75">
      <c r="A95" s="2">
        <v>45864.314988425926</v>
      </c>
      <c r="B95" s="1" t="s">
        <v>19</v>
      </c>
      <c r="C95" s="1">
        <v>3</v>
      </c>
      <c r="D95" s="1">
        <v>3</v>
      </c>
      <c r="E95" s="1" t="s">
        <v>13</v>
      </c>
      <c r="F95" s="1" t="s">
        <v>11</v>
      </c>
      <c r="G95" s="1" t="s">
        <v>12</v>
      </c>
      <c r="H95" s="1">
        <v>4</v>
      </c>
      <c r="I95" s="1">
        <v>4</v>
      </c>
    </row>
    <row r="96" spans="1:9" x14ac:dyDescent="0.75">
      <c r="A96" s="2">
        <v>45864.315601851849</v>
      </c>
      <c r="B96" s="1" t="s">
        <v>19</v>
      </c>
      <c r="C96" s="1">
        <v>4</v>
      </c>
      <c r="D96" s="1">
        <v>5</v>
      </c>
      <c r="E96" s="1" t="s">
        <v>10</v>
      </c>
      <c r="F96" s="1" t="s">
        <v>16</v>
      </c>
      <c r="G96" s="1" t="s">
        <v>12</v>
      </c>
      <c r="H96" s="1">
        <v>5</v>
      </c>
      <c r="I96" s="1">
        <v>5</v>
      </c>
    </row>
    <row r="97" spans="1:9" x14ac:dyDescent="0.75">
      <c r="A97" s="2">
        <v>45864.326828703706</v>
      </c>
      <c r="B97" s="1" t="s">
        <v>19</v>
      </c>
      <c r="C97" s="1">
        <v>3</v>
      </c>
      <c r="D97" s="1">
        <v>3</v>
      </c>
      <c r="E97" s="1" t="s">
        <v>13</v>
      </c>
      <c r="F97" s="1" t="s">
        <v>11</v>
      </c>
      <c r="G97" s="1" t="s">
        <v>12</v>
      </c>
      <c r="H97" s="1">
        <v>3</v>
      </c>
      <c r="I97" s="1">
        <v>4</v>
      </c>
    </row>
    <row r="98" spans="1:9" x14ac:dyDescent="0.75">
      <c r="A98" s="2">
        <v>45864.342569444445</v>
      </c>
      <c r="B98" s="1" t="s">
        <v>19</v>
      </c>
      <c r="C98" s="1">
        <v>2</v>
      </c>
      <c r="D98" s="1">
        <v>3</v>
      </c>
      <c r="E98" s="1" t="s">
        <v>10</v>
      </c>
      <c r="F98" s="1" t="s">
        <v>16</v>
      </c>
      <c r="G98" s="1" t="s">
        <v>12</v>
      </c>
      <c r="H98" s="1">
        <v>3</v>
      </c>
      <c r="I98" s="1">
        <v>4</v>
      </c>
    </row>
    <row r="99" spans="1:9" x14ac:dyDescent="0.75">
      <c r="A99" s="2">
        <v>45864.350891203707</v>
      </c>
      <c r="B99" s="1" t="s">
        <v>19</v>
      </c>
      <c r="C99" s="1">
        <v>1</v>
      </c>
      <c r="D99" s="1">
        <v>2</v>
      </c>
      <c r="E99" s="1" t="s">
        <v>13</v>
      </c>
      <c r="F99" s="1" t="s">
        <v>11</v>
      </c>
      <c r="G99" s="1" t="s">
        <v>12</v>
      </c>
      <c r="H99" s="1">
        <v>5</v>
      </c>
      <c r="I99" s="1">
        <v>3</v>
      </c>
    </row>
    <row r="100" spans="1:9" x14ac:dyDescent="0.75">
      <c r="A100" s="2">
        <v>45864.350902777776</v>
      </c>
      <c r="B100" s="1" t="s">
        <v>19</v>
      </c>
      <c r="C100" s="1">
        <v>4</v>
      </c>
      <c r="D100" s="1">
        <v>4</v>
      </c>
      <c r="E100" s="1" t="s">
        <v>15</v>
      </c>
      <c r="F100" s="1" t="s">
        <v>16</v>
      </c>
      <c r="G100" s="1" t="s">
        <v>12</v>
      </c>
      <c r="H100" s="1">
        <v>2</v>
      </c>
      <c r="I100" s="1">
        <v>5</v>
      </c>
    </row>
    <row r="101" spans="1:9" x14ac:dyDescent="0.75">
      <c r="A101" s="2">
        <v>45864.352199074077</v>
      </c>
      <c r="B101" s="1" t="s">
        <v>19</v>
      </c>
      <c r="C101" s="1">
        <v>4</v>
      </c>
      <c r="D101" s="1">
        <v>3</v>
      </c>
      <c r="E101" s="1" t="s">
        <v>13</v>
      </c>
      <c r="F101" s="1" t="s">
        <v>11</v>
      </c>
      <c r="G101" s="1" t="s">
        <v>12</v>
      </c>
      <c r="H101" s="1">
        <v>4</v>
      </c>
      <c r="I101" s="1">
        <v>4</v>
      </c>
    </row>
    <row r="102" spans="1:9" x14ac:dyDescent="0.75">
      <c r="A102" s="2">
        <v>45864.361516203702</v>
      </c>
      <c r="B102" s="1" t="s">
        <v>19</v>
      </c>
      <c r="C102" s="1">
        <v>4</v>
      </c>
      <c r="D102" s="1">
        <v>5</v>
      </c>
      <c r="E102" s="1" t="s">
        <v>10</v>
      </c>
      <c r="F102" s="1" t="s">
        <v>16</v>
      </c>
      <c r="G102" s="1" t="s">
        <v>12</v>
      </c>
      <c r="H102" s="1">
        <v>3</v>
      </c>
      <c r="I102" s="1">
        <v>4</v>
      </c>
    </row>
    <row r="103" spans="1:9" x14ac:dyDescent="0.75">
      <c r="A103" s="2">
        <v>45864.373379629629</v>
      </c>
      <c r="B103" s="1" t="s">
        <v>19</v>
      </c>
      <c r="C103" s="1">
        <v>1</v>
      </c>
      <c r="D103" s="1">
        <v>5</v>
      </c>
      <c r="E103" s="1" t="s">
        <v>10</v>
      </c>
      <c r="F103" s="1" t="s">
        <v>11</v>
      </c>
      <c r="G103" s="1" t="s">
        <v>12</v>
      </c>
      <c r="H103" s="1">
        <v>5</v>
      </c>
      <c r="I103" s="1">
        <v>5</v>
      </c>
    </row>
    <row r="104" spans="1:9" x14ac:dyDescent="0.75">
      <c r="A104" s="2">
        <v>45864.394537037035</v>
      </c>
      <c r="B104" s="1" t="s">
        <v>19</v>
      </c>
      <c r="C104" s="1">
        <v>5</v>
      </c>
      <c r="D104" s="1">
        <v>5</v>
      </c>
      <c r="E104" s="1" t="s">
        <v>13</v>
      </c>
      <c r="F104" s="1" t="s">
        <v>16</v>
      </c>
      <c r="G104" s="1" t="s">
        <v>12</v>
      </c>
      <c r="H104" s="1">
        <v>3</v>
      </c>
      <c r="I104" s="1">
        <v>5</v>
      </c>
    </row>
    <row r="105" spans="1:9" x14ac:dyDescent="0.75">
      <c r="A105" s="2">
        <v>45864.400104166663</v>
      </c>
      <c r="B105" s="1" t="s">
        <v>19</v>
      </c>
      <c r="C105" s="1">
        <v>1</v>
      </c>
      <c r="D105" s="1">
        <v>3</v>
      </c>
      <c r="E105" s="1" t="s">
        <v>13</v>
      </c>
      <c r="F105" s="1" t="s">
        <v>14</v>
      </c>
      <c r="G105" s="1" t="s">
        <v>12</v>
      </c>
      <c r="H105" s="1">
        <v>3</v>
      </c>
      <c r="I105" s="1">
        <v>1</v>
      </c>
    </row>
    <row r="106" spans="1:9" x14ac:dyDescent="0.75">
      <c r="A106" s="2">
        <v>45864.407685185186</v>
      </c>
      <c r="B106" s="1" t="s">
        <v>19</v>
      </c>
      <c r="C106" s="1">
        <v>5</v>
      </c>
      <c r="D106" s="1">
        <v>3</v>
      </c>
      <c r="E106" s="1" t="s">
        <v>10</v>
      </c>
      <c r="F106" s="1" t="s">
        <v>16</v>
      </c>
      <c r="G106" s="1" t="s">
        <v>12</v>
      </c>
      <c r="H106" s="1">
        <v>4</v>
      </c>
      <c r="I106" s="1">
        <v>5</v>
      </c>
    </row>
    <row r="107" spans="1:9" x14ac:dyDescent="0.75">
      <c r="A107" s="2">
        <v>45864.414259259262</v>
      </c>
      <c r="B107" s="1" t="s">
        <v>19</v>
      </c>
      <c r="C107" s="1">
        <v>3</v>
      </c>
      <c r="D107" s="1">
        <v>3</v>
      </c>
      <c r="E107" s="1" t="s">
        <v>10</v>
      </c>
      <c r="F107" s="1" t="s">
        <v>11</v>
      </c>
      <c r="G107" s="1" t="s">
        <v>12</v>
      </c>
      <c r="H107" s="1">
        <v>4</v>
      </c>
      <c r="I107" s="1">
        <v>3</v>
      </c>
    </row>
    <row r="108" spans="1:9" x14ac:dyDescent="0.75">
      <c r="A108" s="2">
        <v>45864.417743055557</v>
      </c>
      <c r="B108" s="1" t="s">
        <v>19</v>
      </c>
      <c r="C108" s="1">
        <v>4</v>
      </c>
      <c r="D108" s="1">
        <v>4</v>
      </c>
      <c r="E108" s="1" t="s">
        <v>15</v>
      </c>
      <c r="F108" s="1" t="s">
        <v>16</v>
      </c>
      <c r="G108" s="1" t="s">
        <v>12</v>
      </c>
      <c r="H108" s="1">
        <v>4</v>
      </c>
      <c r="I108" s="1">
        <v>5</v>
      </c>
    </row>
    <row r="109" spans="1:9" x14ac:dyDescent="0.75">
      <c r="A109" s="2">
        <v>45864.419814814813</v>
      </c>
      <c r="B109" s="1" t="s">
        <v>19</v>
      </c>
      <c r="C109" s="1">
        <v>2</v>
      </c>
      <c r="D109" s="1">
        <v>3</v>
      </c>
      <c r="E109" s="1" t="s">
        <v>10</v>
      </c>
      <c r="F109" s="1" t="s">
        <v>14</v>
      </c>
      <c r="G109" s="1" t="s">
        <v>12</v>
      </c>
      <c r="H109" s="1">
        <v>3</v>
      </c>
      <c r="I109" s="1">
        <v>4</v>
      </c>
    </row>
    <row r="110" spans="1:9" x14ac:dyDescent="0.75">
      <c r="A110" s="2">
        <v>45864.443333333336</v>
      </c>
      <c r="B110" s="1" t="s">
        <v>19</v>
      </c>
      <c r="C110" s="1">
        <v>3</v>
      </c>
      <c r="D110" s="1">
        <v>3</v>
      </c>
      <c r="E110" s="1" t="s">
        <v>13</v>
      </c>
      <c r="F110" s="1" t="s">
        <v>11</v>
      </c>
      <c r="G110" s="1" t="s">
        <v>12</v>
      </c>
      <c r="H110" s="1">
        <v>3</v>
      </c>
      <c r="I110" s="1">
        <v>4</v>
      </c>
    </row>
    <row r="111" spans="1:9" x14ac:dyDescent="0.75">
      <c r="A111" s="2">
        <v>45864.444178240738</v>
      </c>
      <c r="B111" s="1" t="s">
        <v>19</v>
      </c>
      <c r="C111" s="1">
        <v>2</v>
      </c>
      <c r="D111" s="1">
        <v>4</v>
      </c>
      <c r="E111" s="1" t="s">
        <v>13</v>
      </c>
      <c r="F111" s="1" t="s">
        <v>16</v>
      </c>
      <c r="G111" s="1" t="s">
        <v>12</v>
      </c>
      <c r="H111" s="1">
        <v>3</v>
      </c>
      <c r="I111" s="1">
        <v>3</v>
      </c>
    </row>
    <row r="112" spans="1:9" x14ac:dyDescent="0.75">
      <c r="A112" s="2">
        <v>45864.483680555553</v>
      </c>
      <c r="B112" s="1" t="s">
        <v>19</v>
      </c>
      <c r="C112" s="1">
        <v>2</v>
      </c>
      <c r="D112" s="1">
        <v>4</v>
      </c>
      <c r="E112" s="1" t="s">
        <v>10</v>
      </c>
      <c r="F112" s="1" t="s">
        <v>11</v>
      </c>
      <c r="G112" s="1" t="s">
        <v>12</v>
      </c>
      <c r="H112" s="1">
        <v>4</v>
      </c>
      <c r="I112" s="1">
        <v>3</v>
      </c>
    </row>
    <row r="113" spans="1:9" x14ac:dyDescent="0.75">
      <c r="A113" s="2">
        <v>45864.568993055553</v>
      </c>
      <c r="B113" s="1" t="s">
        <v>9</v>
      </c>
      <c r="C113" s="1">
        <v>1</v>
      </c>
      <c r="D113" s="1">
        <v>1</v>
      </c>
      <c r="E113" s="1" t="s">
        <v>10</v>
      </c>
      <c r="F113" s="1" t="s">
        <v>11</v>
      </c>
      <c r="G113" s="1" t="s">
        <v>12</v>
      </c>
      <c r="H113" s="1">
        <v>3</v>
      </c>
      <c r="I113" s="1">
        <v>3</v>
      </c>
    </row>
    <row r="114" spans="1:9" x14ac:dyDescent="0.75">
      <c r="A114" s="2">
        <v>45864.598530092589</v>
      </c>
      <c r="B114" s="1" t="s">
        <v>19</v>
      </c>
      <c r="C114" s="1">
        <v>1</v>
      </c>
      <c r="D114" s="1">
        <v>3</v>
      </c>
      <c r="E114" s="1" t="s">
        <v>10</v>
      </c>
      <c r="F114" s="1" t="s">
        <v>11</v>
      </c>
      <c r="G114" s="1" t="s">
        <v>12</v>
      </c>
      <c r="H114" s="1">
        <v>5</v>
      </c>
      <c r="I114" s="1">
        <v>3</v>
      </c>
    </row>
    <row r="115" spans="1:9" x14ac:dyDescent="0.75">
      <c r="A115" s="2">
        <v>45864.599826388891</v>
      </c>
      <c r="B115" s="1" t="s">
        <v>19</v>
      </c>
      <c r="C115" s="1">
        <v>3</v>
      </c>
      <c r="D115" s="1">
        <v>4</v>
      </c>
      <c r="E115" s="1" t="s">
        <v>10</v>
      </c>
      <c r="F115" s="1" t="s">
        <v>16</v>
      </c>
      <c r="G115" s="1" t="s">
        <v>12</v>
      </c>
      <c r="H115" s="1">
        <v>3</v>
      </c>
      <c r="I115" s="1">
        <v>3</v>
      </c>
    </row>
    <row r="116" spans="1:9" x14ac:dyDescent="0.75">
      <c r="A116" s="2">
        <v>45864.781400462962</v>
      </c>
      <c r="B116" s="1" t="s">
        <v>19</v>
      </c>
      <c r="C116" s="1">
        <v>1</v>
      </c>
      <c r="D116" s="1">
        <v>1</v>
      </c>
      <c r="E116" s="1" t="s">
        <v>13</v>
      </c>
      <c r="F116" s="1" t="s">
        <v>16</v>
      </c>
      <c r="G116" s="1" t="s">
        <v>12</v>
      </c>
      <c r="H116" s="1">
        <v>1</v>
      </c>
      <c r="I116" s="1">
        <v>1</v>
      </c>
    </row>
    <row r="117" spans="1:9" x14ac:dyDescent="0.75">
      <c r="A117" s="2">
        <v>45864.901226851849</v>
      </c>
      <c r="B117" s="1" t="s">
        <v>19</v>
      </c>
      <c r="C117" s="1">
        <v>3</v>
      </c>
      <c r="D117" s="1">
        <v>4</v>
      </c>
      <c r="E117" s="1" t="s">
        <v>13</v>
      </c>
      <c r="F117" s="1" t="s">
        <v>14</v>
      </c>
      <c r="G117" s="1" t="s">
        <v>12</v>
      </c>
      <c r="H117" s="1">
        <v>2</v>
      </c>
      <c r="I117" s="1">
        <v>2</v>
      </c>
    </row>
    <row r="118" spans="1:9" x14ac:dyDescent="0.75">
      <c r="A118" s="2">
        <v>45864.924328703702</v>
      </c>
      <c r="B118" s="1" t="s">
        <v>19</v>
      </c>
      <c r="C118" s="1">
        <v>3</v>
      </c>
      <c r="D118" s="1">
        <v>1</v>
      </c>
      <c r="E118" s="1" t="s">
        <v>10</v>
      </c>
      <c r="F118" s="1" t="s">
        <v>11</v>
      </c>
      <c r="G118" s="1" t="s">
        <v>12</v>
      </c>
      <c r="H118" s="1">
        <v>4</v>
      </c>
      <c r="I118" s="1">
        <v>4</v>
      </c>
    </row>
    <row r="119" spans="1:9" x14ac:dyDescent="0.75">
      <c r="A119" s="2">
        <v>45865.572916666664</v>
      </c>
      <c r="B119" s="1" t="s">
        <v>9</v>
      </c>
      <c r="C119" s="1">
        <v>2</v>
      </c>
      <c r="D119" s="1">
        <v>3</v>
      </c>
      <c r="E119" s="1" t="s">
        <v>10</v>
      </c>
      <c r="F119" s="1" t="s">
        <v>11</v>
      </c>
      <c r="G119" s="1" t="s">
        <v>12</v>
      </c>
      <c r="H119" s="1">
        <v>3</v>
      </c>
      <c r="I119" s="1">
        <v>5</v>
      </c>
    </row>
    <row r="120" spans="1:9" x14ac:dyDescent="0.75">
      <c r="A120" s="2">
        <v>45865.956180555557</v>
      </c>
      <c r="B120" s="1" t="s">
        <v>19</v>
      </c>
      <c r="C120" s="1">
        <v>2</v>
      </c>
      <c r="D120" s="1">
        <v>2</v>
      </c>
      <c r="E120" s="1" t="s">
        <v>13</v>
      </c>
      <c r="F120" s="1" t="s">
        <v>11</v>
      </c>
      <c r="G120" s="1" t="s">
        <v>12</v>
      </c>
      <c r="H120" s="1">
        <v>4</v>
      </c>
      <c r="I120" s="1">
        <v>4</v>
      </c>
    </row>
    <row r="121" spans="1:9" x14ac:dyDescent="0.75">
      <c r="A121" s="2">
        <v>45868.280497685184</v>
      </c>
      <c r="B121" s="1" t="s">
        <v>19</v>
      </c>
      <c r="C121" s="1">
        <v>4</v>
      </c>
      <c r="D121" s="1">
        <v>5</v>
      </c>
      <c r="E121" s="1" t="s">
        <v>13</v>
      </c>
      <c r="F121" s="1" t="s">
        <v>11</v>
      </c>
      <c r="G121" s="1" t="s">
        <v>12</v>
      </c>
      <c r="H121" s="1">
        <v>3</v>
      </c>
      <c r="I121" s="1">
        <v>5</v>
      </c>
    </row>
    <row r="122" spans="1:9" x14ac:dyDescent="0.75">
      <c r="A122" s="2">
        <v>45868.668240740742</v>
      </c>
      <c r="B122" s="1" t="s">
        <v>9</v>
      </c>
      <c r="C122" s="1">
        <v>4</v>
      </c>
      <c r="D122" s="1">
        <v>4</v>
      </c>
      <c r="E122" s="1" t="s">
        <v>15</v>
      </c>
      <c r="F122" s="1" t="s">
        <v>11</v>
      </c>
      <c r="G122" s="1" t="s">
        <v>12</v>
      </c>
      <c r="H122" s="1">
        <v>4</v>
      </c>
      <c r="I122" s="1">
        <v>4</v>
      </c>
    </row>
    <row r="123" spans="1:9" x14ac:dyDescent="0.75">
      <c r="A123" s="2">
        <v>45880.510416666664</v>
      </c>
      <c r="B123" s="1" t="s">
        <v>20</v>
      </c>
      <c r="C123" s="1">
        <v>3</v>
      </c>
      <c r="D123" s="1">
        <v>4</v>
      </c>
      <c r="E123" s="1" t="s">
        <v>13</v>
      </c>
      <c r="F123" s="1" t="s">
        <v>14</v>
      </c>
      <c r="G123" s="1" t="s">
        <v>12</v>
      </c>
      <c r="H123" s="1">
        <v>1</v>
      </c>
      <c r="I123" s="1">
        <v>4</v>
      </c>
    </row>
    <row r="124" spans="1:9" x14ac:dyDescent="0.75">
      <c r="A124" s="2">
        <v>45880.755162037036</v>
      </c>
      <c r="B124" s="1" t="s">
        <v>9</v>
      </c>
      <c r="C124" s="1">
        <v>5</v>
      </c>
      <c r="D124" s="1">
        <v>1</v>
      </c>
      <c r="E124" s="1" t="s">
        <v>10</v>
      </c>
      <c r="F124" s="1" t="s">
        <v>11</v>
      </c>
      <c r="G124" s="1" t="s">
        <v>18</v>
      </c>
      <c r="H124" s="1">
        <v>5</v>
      </c>
      <c r="I124" s="1">
        <v>5</v>
      </c>
    </row>
    <row r="125" spans="1:9" x14ac:dyDescent="0.75">
      <c r="A125" s="2">
        <v>45880.811886574076</v>
      </c>
      <c r="B125" s="1" t="s">
        <v>20</v>
      </c>
      <c r="C125" s="1">
        <v>3</v>
      </c>
      <c r="D125" s="1">
        <v>3</v>
      </c>
      <c r="E125" s="1" t="s">
        <v>13</v>
      </c>
      <c r="F125" s="1" t="s">
        <v>11</v>
      </c>
      <c r="G125" s="1" t="s">
        <v>12</v>
      </c>
      <c r="H125" s="1">
        <v>3</v>
      </c>
      <c r="I125" s="1">
        <v>3</v>
      </c>
    </row>
    <row r="126" spans="1:9" x14ac:dyDescent="0.75">
      <c r="A126" s="2">
        <v>45881.103263888886</v>
      </c>
      <c r="B126" s="1" t="s">
        <v>20</v>
      </c>
      <c r="C126" s="1">
        <v>3</v>
      </c>
      <c r="D126" s="1">
        <v>4</v>
      </c>
      <c r="E126" s="1" t="s">
        <v>13</v>
      </c>
      <c r="F126" s="1" t="s">
        <v>14</v>
      </c>
      <c r="G126" s="1" t="s">
        <v>12</v>
      </c>
      <c r="H126" s="1">
        <v>2</v>
      </c>
      <c r="I126" s="1">
        <v>4</v>
      </c>
    </row>
    <row r="127" spans="1:9" x14ac:dyDescent="0.75">
      <c r="A127" s="2">
        <v>45881.341527777775</v>
      </c>
      <c r="B127" s="1" t="s">
        <v>20</v>
      </c>
      <c r="C127" s="1">
        <v>3</v>
      </c>
      <c r="D127" s="1">
        <v>1</v>
      </c>
      <c r="E127" s="1" t="s">
        <v>15</v>
      </c>
      <c r="F127" s="1" t="s">
        <v>14</v>
      </c>
      <c r="G127" s="1" t="s">
        <v>12</v>
      </c>
      <c r="H127" s="1">
        <v>4</v>
      </c>
      <c r="I127" s="1">
        <v>5</v>
      </c>
    </row>
    <row r="128" spans="1:9" x14ac:dyDescent="0.75">
      <c r="A128" s="2">
        <v>45881.367881944447</v>
      </c>
      <c r="B128" s="1" t="s">
        <v>19</v>
      </c>
      <c r="C128" s="1">
        <v>4</v>
      </c>
      <c r="D128" s="1">
        <v>5</v>
      </c>
      <c r="E128" s="1" t="s">
        <v>10</v>
      </c>
      <c r="F128" s="1" t="s">
        <v>16</v>
      </c>
      <c r="G128" s="1" t="s">
        <v>12</v>
      </c>
      <c r="H128" s="1">
        <v>3</v>
      </c>
      <c r="I128" s="1">
        <v>5</v>
      </c>
    </row>
    <row r="129" spans="1:9" x14ac:dyDescent="0.75">
      <c r="A129" s="2">
        <v>45881.372303240743</v>
      </c>
      <c r="B129" s="1" t="s">
        <v>9</v>
      </c>
      <c r="C129" s="1">
        <v>3</v>
      </c>
      <c r="D129" s="1">
        <v>5</v>
      </c>
      <c r="E129" s="1" t="s">
        <v>13</v>
      </c>
      <c r="F129" s="1" t="s">
        <v>11</v>
      </c>
      <c r="G129" s="1" t="s">
        <v>18</v>
      </c>
      <c r="H129" s="1">
        <v>4</v>
      </c>
      <c r="I129" s="1">
        <v>5</v>
      </c>
    </row>
    <row r="130" spans="1:9" x14ac:dyDescent="0.75">
      <c r="A130" s="2">
        <v>45881.419421296298</v>
      </c>
      <c r="B130" s="1" t="s">
        <v>9</v>
      </c>
      <c r="C130" s="1">
        <v>3</v>
      </c>
      <c r="D130" s="1">
        <v>4</v>
      </c>
      <c r="E130" s="1" t="s">
        <v>15</v>
      </c>
      <c r="F130" s="1" t="s">
        <v>14</v>
      </c>
      <c r="G130" s="1" t="s">
        <v>12</v>
      </c>
      <c r="H130" s="1">
        <v>2</v>
      </c>
      <c r="I130" s="1">
        <v>4</v>
      </c>
    </row>
    <row r="131" spans="1:9" x14ac:dyDescent="0.75">
      <c r="A131" s="2">
        <v>45881.509560185186</v>
      </c>
      <c r="B131" s="1" t="s">
        <v>9</v>
      </c>
      <c r="C131" s="1">
        <v>5</v>
      </c>
      <c r="D131" s="1">
        <v>5</v>
      </c>
      <c r="E131" s="1" t="s">
        <v>35</v>
      </c>
      <c r="F131" s="1" t="s">
        <v>16</v>
      </c>
      <c r="G131" s="1" t="s">
        <v>12</v>
      </c>
      <c r="H131" s="1">
        <v>5</v>
      </c>
      <c r="I131" s="1">
        <v>4</v>
      </c>
    </row>
    <row r="132" spans="1:9" x14ac:dyDescent="0.75">
      <c r="A132" s="2">
        <v>45881.553356481483</v>
      </c>
      <c r="B132" s="1" t="s">
        <v>9</v>
      </c>
      <c r="C132" s="1">
        <v>2</v>
      </c>
      <c r="D132" s="1">
        <v>2</v>
      </c>
      <c r="E132" s="1" t="s">
        <v>10</v>
      </c>
      <c r="F132" s="1" t="s">
        <v>11</v>
      </c>
      <c r="G132" s="1" t="s">
        <v>12</v>
      </c>
      <c r="H132" s="1">
        <v>4</v>
      </c>
      <c r="I132" s="1">
        <v>4</v>
      </c>
    </row>
    <row r="133" spans="1:9" x14ac:dyDescent="0.75">
      <c r="A133" s="2">
        <v>45881.625925925924</v>
      </c>
      <c r="B133" s="1" t="s">
        <v>19</v>
      </c>
      <c r="C133" s="1">
        <v>4</v>
      </c>
      <c r="D133" s="1">
        <v>4</v>
      </c>
      <c r="E133" s="1" t="s">
        <v>13</v>
      </c>
      <c r="F133" s="1" t="s">
        <v>11</v>
      </c>
      <c r="G133" s="1" t="s">
        <v>12</v>
      </c>
      <c r="H133" s="1">
        <v>3</v>
      </c>
      <c r="I133" s="1">
        <v>4</v>
      </c>
    </row>
    <row r="134" spans="1:9" x14ac:dyDescent="0.75">
      <c r="A134" s="2">
        <v>45882.906921296293</v>
      </c>
      <c r="B134" s="1" t="s">
        <v>9</v>
      </c>
      <c r="C134" s="1">
        <v>1</v>
      </c>
      <c r="D134" s="1">
        <v>1</v>
      </c>
      <c r="E134" s="1" t="s">
        <v>13</v>
      </c>
      <c r="F134" s="1" t="s">
        <v>11</v>
      </c>
      <c r="G134" s="1" t="s">
        <v>12</v>
      </c>
      <c r="H134" s="1">
        <v>2</v>
      </c>
      <c r="I134" s="1">
        <v>2</v>
      </c>
    </row>
    <row r="135" spans="1:9" x14ac:dyDescent="0.75">
      <c r="A135" s="2">
        <v>45883.256956018522</v>
      </c>
      <c r="B135" s="1" t="s">
        <v>20</v>
      </c>
      <c r="C135" s="1">
        <v>4</v>
      </c>
      <c r="D135" s="1">
        <v>3</v>
      </c>
      <c r="E135" s="1" t="s">
        <v>15</v>
      </c>
      <c r="F135" s="1" t="s">
        <v>16</v>
      </c>
      <c r="G135" s="1" t="s">
        <v>18</v>
      </c>
      <c r="H135" s="1">
        <v>2</v>
      </c>
      <c r="I135" s="1">
        <v>4</v>
      </c>
    </row>
    <row r="136" spans="1:9" x14ac:dyDescent="0.75">
      <c r="A136" s="2">
        <v>45883.879340277781</v>
      </c>
      <c r="B136" s="1" t="s">
        <v>9</v>
      </c>
      <c r="C136" s="1">
        <v>5</v>
      </c>
      <c r="D136" s="1">
        <v>3</v>
      </c>
      <c r="E136" s="1" t="s">
        <v>15</v>
      </c>
      <c r="F136" s="1" t="s">
        <v>11</v>
      </c>
      <c r="G136" s="1" t="s">
        <v>12</v>
      </c>
      <c r="H136" s="1">
        <v>2</v>
      </c>
      <c r="I136" s="1">
        <v>4</v>
      </c>
    </row>
    <row r="137" spans="1:9" x14ac:dyDescent="0.75">
      <c r="A137" s="2">
        <v>45886.54310185185</v>
      </c>
      <c r="B137" s="1" t="s">
        <v>9</v>
      </c>
      <c r="C137" s="1">
        <v>3</v>
      </c>
      <c r="D137" s="1">
        <v>2</v>
      </c>
      <c r="E137" s="1" t="s">
        <v>13</v>
      </c>
      <c r="F137" s="1" t="s">
        <v>11</v>
      </c>
      <c r="G137" s="1" t="s">
        <v>12</v>
      </c>
      <c r="H137" s="1">
        <v>3</v>
      </c>
      <c r="I137" s="1">
        <v>4</v>
      </c>
    </row>
    <row r="138" spans="1:9" x14ac:dyDescent="0.75">
      <c r="A138" s="2">
        <v>45887.60833333333</v>
      </c>
      <c r="B138" s="1" t="s">
        <v>9</v>
      </c>
      <c r="C138" s="1">
        <v>4</v>
      </c>
      <c r="D138" s="1">
        <v>2</v>
      </c>
      <c r="E138" s="1" t="s">
        <v>15</v>
      </c>
      <c r="F138" s="1" t="s">
        <v>11</v>
      </c>
      <c r="G138" s="1" t="s">
        <v>12</v>
      </c>
      <c r="H138" s="1">
        <v>3</v>
      </c>
      <c r="I138" s="1">
        <v>3</v>
      </c>
    </row>
    <row r="139" spans="1:9" x14ac:dyDescent="0.75">
      <c r="A139" s="2">
        <v>45887.717962962961</v>
      </c>
      <c r="B139" s="1" t="s">
        <v>9</v>
      </c>
      <c r="C139" s="1">
        <v>3</v>
      </c>
      <c r="D139" s="1">
        <v>3</v>
      </c>
      <c r="E139" s="1" t="s">
        <v>13</v>
      </c>
      <c r="F139" s="1" t="s">
        <v>11</v>
      </c>
      <c r="G139" s="1" t="s">
        <v>12</v>
      </c>
      <c r="H139" s="1">
        <v>2</v>
      </c>
      <c r="I139" s="1">
        <v>4</v>
      </c>
    </row>
    <row r="140" spans="1:9" x14ac:dyDescent="0.75">
      <c r="A140" s="2">
        <v>45887.797824074078</v>
      </c>
      <c r="B140" s="1" t="s">
        <v>9</v>
      </c>
      <c r="C140" s="1">
        <v>4</v>
      </c>
      <c r="D140" s="1">
        <v>5</v>
      </c>
      <c r="E140" s="1" t="s">
        <v>15</v>
      </c>
      <c r="F140" s="1" t="s">
        <v>14</v>
      </c>
      <c r="G140" s="1" t="s">
        <v>12</v>
      </c>
      <c r="H140" s="1">
        <v>5</v>
      </c>
      <c r="I140" s="1">
        <v>5</v>
      </c>
    </row>
    <row r="141" spans="1:9" x14ac:dyDescent="0.75">
      <c r="A141" s="2">
        <v>45887.944594907407</v>
      </c>
      <c r="B141" s="1" t="s">
        <v>9</v>
      </c>
      <c r="C141" s="1">
        <v>4</v>
      </c>
      <c r="D141" s="1">
        <v>2</v>
      </c>
      <c r="E141" s="1" t="s">
        <v>13</v>
      </c>
      <c r="F141" s="1" t="s">
        <v>14</v>
      </c>
      <c r="G141" s="1" t="s">
        <v>12</v>
      </c>
      <c r="H141" s="1">
        <v>4</v>
      </c>
      <c r="I141" s="1">
        <v>4</v>
      </c>
    </row>
    <row r="143" spans="1:9" x14ac:dyDescent="0.75">
      <c r="B143" s="1" t="s">
        <v>33</v>
      </c>
      <c r="C143" s="1">
        <f>AVERAGE(C2:C141)</f>
        <v>3.0714285714285716</v>
      </c>
      <c r="D143" s="1">
        <f>AVERAGE(D2:D141)</f>
        <v>3.1785714285714284</v>
      </c>
      <c r="H143" s="1">
        <f>AVERAGE(H2:H141)</f>
        <v>3.4928571428571429</v>
      </c>
      <c r="I143" s="1">
        <f>AVERAGE(I2:I141)</f>
        <v>3.7214285714285715</v>
      </c>
    </row>
    <row r="144" spans="1:9" x14ac:dyDescent="0.75">
      <c r="B144" s="1" t="s">
        <v>34</v>
      </c>
      <c r="C144" s="1">
        <f>SUM(C2:C141)</f>
        <v>430</v>
      </c>
      <c r="D144" s="1">
        <f>SUM(D2:D141)</f>
        <v>445</v>
      </c>
      <c r="H144" s="1">
        <f>SUM(H2:H141)</f>
        <v>489</v>
      </c>
      <c r="I144" s="1">
        <f>SUM(I2:I141)</f>
        <v>521</v>
      </c>
    </row>
    <row r="146" spans="2:2" x14ac:dyDescent="0.75">
      <c r="B146" s="1">
        <f>COUNTIF(B2:B141,"undergraduate")</f>
        <v>100</v>
      </c>
    </row>
    <row r="147" spans="2:2" x14ac:dyDescent="0.75">
      <c r="B147" s="1">
        <f>COUNTIF(B2:B141,"post-graduate")</f>
        <v>11</v>
      </c>
    </row>
    <row r="148" spans="2:2" x14ac:dyDescent="0.75">
      <c r="B148" s="1">
        <f>COUNTIF(B3:B142,"high school")</f>
        <v>29</v>
      </c>
    </row>
  </sheetData>
  <autoFilter ref="A1:I141" xr:uid="{87B83CBE-3A52-4B39-8E62-300C8619364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9D69D-B0D8-476A-9C74-8AD51C570D06}">
  <dimension ref="A3:K13"/>
  <sheetViews>
    <sheetView showGridLines="0" zoomScale="87" workbookViewId="0">
      <selection activeCell="D9" sqref="D9"/>
    </sheetView>
  </sheetViews>
  <sheetFormatPr defaultRowHeight="14.75" x14ac:dyDescent="0.75"/>
  <cols>
    <col min="2" max="2" width="54.6796875" customWidth="1"/>
    <col min="8" max="8" width="14.953125" customWidth="1"/>
    <col min="9" max="9" width="15.36328125" customWidth="1"/>
    <col min="10" max="10" width="18.40625" customWidth="1"/>
    <col min="11" max="11" width="17.76953125" customWidth="1"/>
  </cols>
  <sheetData>
    <row r="3" spans="1:11" ht="90.75" x14ac:dyDescent="1.2">
      <c r="A3" s="18" t="s">
        <v>32</v>
      </c>
      <c r="B3" s="19"/>
      <c r="C3" s="4" t="s">
        <v>0</v>
      </c>
      <c r="D3" s="4" t="s">
        <v>1</v>
      </c>
      <c r="E3" s="4" t="s">
        <v>2</v>
      </c>
      <c r="F3" s="4" t="s">
        <v>3</v>
      </c>
      <c r="G3" s="4" t="s">
        <v>4</v>
      </c>
      <c r="H3" s="4" t="s">
        <v>5</v>
      </c>
      <c r="I3" s="4" t="s">
        <v>6</v>
      </c>
      <c r="J3" s="4" t="s">
        <v>7</v>
      </c>
      <c r="K3" s="4" t="s">
        <v>8</v>
      </c>
    </row>
    <row r="4" spans="1:11" x14ac:dyDescent="0.75">
      <c r="A4" s="3">
        <v>1</v>
      </c>
      <c r="B4" s="3" t="s">
        <v>21</v>
      </c>
      <c r="C4" s="3"/>
      <c r="D4" s="3" t="s">
        <v>30</v>
      </c>
      <c r="E4" s="3"/>
      <c r="F4" s="3"/>
      <c r="G4" s="3"/>
      <c r="H4" s="3"/>
      <c r="I4" s="3"/>
      <c r="J4" s="3"/>
      <c r="K4" s="3" t="s">
        <v>30</v>
      </c>
    </row>
    <row r="5" spans="1:11" x14ac:dyDescent="0.75">
      <c r="A5" s="3">
        <v>2</v>
      </c>
      <c r="B5" s="3" t="s">
        <v>22</v>
      </c>
      <c r="C5" s="3"/>
      <c r="D5" s="3"/>
      <c r="E5" s="3" t="s">
        <v>30</v>
      </c>
      <c r="F5" s="3"/>
      <c r="G5" s="3"/>
      <c r="H5" s="3"/>
      <c r="I5" s="3"/>
      <c r="J5" s="3"/>
      <c r="K5" s="3" t="s">
        <v>30</v>
      </c>
    </row>
    <row r="6" spans="1:11" x14ac:dyDescent="0.75">
      <c r="A6" s="3">
        <v>3</v>
      </c>
      <c r="B6" s="3" t="s">
        <v>23</v>
      </c>
      <c r="C6" s="3"/>
      <c r="D6" s="3"/>
      <c r="E6" s="3"/>
      <c r="F6" s="3" t="s">
        <v>30</v>
      </c>
      <c r="G6" s="3"/>
      <c r="H6" s="3"/>
      <c r="I6" s="3"/>
      <c r="J6" s="3"/>
      <c r="K6" s="3" t="s">
        <v>30</v>
      </c>
    </row>
    <row r="7" spans="1:11" x14ac:dyDescent="0.75">
      <c r="A7" s="3">
        <v>4</v>
      </c>
      <c r="B7" s="3" t="s">
        <v>24</v>
      </c>
      <c r="C7" s="3"/>
      <c r="D7" s="3"/>
      <c r="E7" s="3"/>
      <c r="F7" s="3"/>
      <c r="G7" s="3" t="s">
        <v>30</v>
      </c>
      <c r="H7" s="3"/>
      <c r="I7" s="3" t="s">
        <v>30</v>
      </c>
      <c r="J7" s="3"/>
      <c r="K7" s="3"/>
    </row>
    <row r="8" spans="1:11" x14ac:dyDescent="0.75">
      <c r="A8" s="3">
        <v>5</v>
      </c>
      <c r="B8" s="3" t="s">
        <v>25</v>
      </c>
      <c r="C8" s="3"/>
      <c r="D8" s="3" t="s">
        <v>30</v>
      </c>
      <c r="E8" s="3"/>
      <c r="F8" s="3"/>
      <c r="G8" s="3"/>
      <c r="H8" s="3"/>
      <c r="I8" s="3"/>
      <c r="J8" s="3"/>
      <c r="K8" s="3" t="s">
        <v>30</v>
      </c>
    </row>
    <row r="9" spans="1:11" x14ac:dyDescent="0.75">
      <c r="A9" s="3">
        <v>6</v>
      </c>
      <c r="B9" s="3" t="s">
        <v>26</v>
      </c>
      <c r="C9" s="3"/>
      <c r="D9" s="3"/>
      <c r="E9" s="3"/>
      <c r="F9" s="3"/>
      <c r="G9" s="3"/>
      <c r="H9" s="3"/>
      <c r="I9" s="3"/>
      <c r="J9" s="3" t="s">
        <v>30</v>
      </c>
      <c r="K9" s="3" t="s">
        <v>30</v>
      </c>
    </row>
    <row r="10" spans="1:11" x14ac:dyDescent="0.75">
      <c r="A10" s="3">
        <v>7</v>
      </c>
      <c r="B10" s="3" t="s">
        <v>27</v>
      </c>
      <c r="C10" s="3"/>
      <c r="D10" s="3"/>
      <c r="E10" s="3"/>
      <c r="F10" s="3" t="s">
        <v>30</v>
      </c>
      <c r="G10" s="3"/>
      <c r="H10" s="3"/>
      <c r="I10" s="3" t="s">
        <v>30</v>
      </c>
      <c r="J10" s="3"/>
      <c r="K10" s="3" t="s">
        <v>30</v>
      </c>
    </row>
    <row r="11" spans="1:11" x14ac:dyDescent="0.75">
      <c r="A11" s="3">
        <v>8</v>
      </c>
      <c r="B11" s="3" t="s">
        <v>28</v>
      </c>
      <c r="C11" s="3"/>
      <c r="D11" s="3"/>
      <c r="E11" s="3"/>
      <c r="F11" s="3"/>
      <c r="G11" s="3"/>
      <c r="H11" s="3" t="s">
        <v>30</v>
      </c>
      <c r="I11" s="3"/>
      <c r="J11" s="3"/>
      <c r="K11" s="3" t="s">
        <v>30</v>
      </c>
    </row>
    <row r="12" spans="1:11" x14ac:dyDescent="0.75">
      <c r="A12" s="3">
        <v>9</v>
      </c>
      <c r="B12" s="3" t="s">
        <v>29</v>
      </c>
      <c r="C12" s="3"/>
      <c r="D12" s="3"/>
      <c r="E12" s="3"/>
      <c r="F12" s="3"/>
      <c r="G12" s="3"/>
      <c r="H12" s="3" t="s">
        <v>30</v>
      </c>
      <c r="I12" s="3"/>
      <c r="J12" s="3"/>
      <c r="K12" s="3" t="s">
        <v>30</v>
      </c>
    </row>
    <row r="13" spans="1:11" x14ac:dyDescent="0.75">
      <c r="A13" s="3">
        <v>10</v>
      </c>
      <c r="B13" s="3" t="s">
        <v>31</v>
      </c>
      <c r="C13" s="3"/>
      <c r="D13" s="3"/>
      <c r="E13" s="3"/>
      <c r="F13" s="3"/>
      <c r="G13" s="3"/>
      <c r="H13" s="3" t="s">
        <v>30</v>
      </c>
      <c r="I13" s="3"/>
      <c r="J13" s="3"/>
      <c r="K13" s="3" t="s">
        <v>30</v>
      </c>
    </row>
  </sheetData>
  <mergeCells count="1">
    <mergeCell ref="A3:B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AE2C9-94E8-498D-B3C6-FAC9ACBD8D47}">
  <dimension ref="B1:J151"/>
  <sheetViews>
    <sheetView showGridLines="0" topLeftCell="A3" zoomScale="81" workbookViewId="0">
      <selection activeCell="E27" sqref="E27"/>
    </sheetView>
  </sheetViews>
  <sheetFormatPr defaultRowHeight="14.75" x14ac:dyDescent="0.75"/>
  <cols>
    <col min="2" max="2" width="17.90625" style="1" customWidth="1"/>
    <col min="3" max="3" width="11.86328125" customWidth="1"/>
    <col min="4" max="4" width="18.81640625" customWidth="1"/>
    <col min="5" max="5" width="16.08984375" customWidth="1"/>
    <col min="6" max="6" width="19" customWidth="1"/>
    <col min="7" max="7" width="14.5" customWidth="1"/>
  </cols>
  <sheetData>
    <row r="1" spans="2:10" x14ac:dyDescent="0.75">
      <c r="B1" s="8"/>
      <c r="C1" s="9"/>
      <c r="D1" s="9"/>
      <c r="E1" s="9"/>
      <c r="F1" s="9"/>
      <c r="G1" s="9"/>
    </row>
    <row r="2" spans="2:10" x14ac:dyDescent="0.75">
      <c r="B2" s="8"/>
      <c r="C2" s="9"/>
      <c r="D2" s="9"/>
      <c r="E2" s="9"/>
      <c r="F2" s="9"/>
      <c r="G2" s="9"/>
    </row>
    <row r="4" spans="2:10" ht="31.25" customHeight="1" x14ac:dyDescent="0.75">
      <c r="B4" s="7" t="s">
        <v>1</v>
      </c>
      <c r="C4" s="7" t="s">
        <v>36</v>
      </c>
      <c r="D4" s="7" t="s">
        <v>37</v>
      </c>
      <c r="E4" s="7" t="s">
        <v>40</v>
      </c>
      <c r="F4" s="7" t="s">
        <v>38</v>
      </c>
      <c r="G4" s="7" t="s">
        <v>39</v>
      </c>
    </row>
    <row r="5" spans="2:10" x14ac:dyDescent="0.75">
      <c r="B5" s="6" t="s">
        <v>9</v>
      </c>
      <c r="C5" s="6">
        <f>COUNTIF('academic Stress level - maintai'!B:B,Dashbord!B5)</f>
        <v>100</v>
      </c>
      <c r="D5" s="6">
        <f>ROUND(AVERAGEIF('academic Stress level - maintai'!B:B,Dashbord!B5,'academic Stress level - maintai'!C:C),2)</f>
        <v>3.12</v>
      </c>
      <c r="E5" s="6">
        <f>ROUND(AVERAGEIF('academic Stress level - maintai'!B:B,Dashbord!B5,'academic Stress level - maintai'!D:D),2)</f>
        <v>3.05</v>
      </c>
      <c r="F5" s="6">
        <f ca="1">ROUND(AVERAGEIF('academic Stress level - maintai'!B:B,Dashbord!B5,'academic Stress level - maintai'!H1),2)</f>
        <v>3.52</v>
      </c>
      <c r="G5" s="6">
        <f>ROUND(AVERAGEIF('academic Stress level - maintai'!B:B,Dashbord!B5,'academic Stress level - maintai'!I:I),2)</f>
        <v>3.69</v>
      </c>
    </row>
    <row r="6" spans="2:10" x14ac:dyDescent="0.75">
      <c r="B6" s="6" t="s">
        <v>19</v>
      </c>
      <c r="C6" s="6">
        <f>COUNTIF('academic Stress level - maintai'!B:B,Dashbord!B6)</f>
        <v>29</v>
      </c>
      <c r="D6" s="6">
        <f>ROUND(AVERAGEIF('academic Stress level - maintai'!B:B,Dashbord!B6,'academic Stress level - maintai'!C:C),2)</f>
        <v>2.93</v>
      </c>
      <c r="E6" s="6">
        <f>ROUND(AVERAGEIF('academic Stress level - maintai'!B:B,Dashbord!B6,'academic Stress level - maintai'!D:D),2)</f>
        <v>3.55</v>
      </c>
      <c r="F6" s="6">
        <f ca="1">ROUND(AVERAGEIF('academic Stress level - maintai'!B:B,Dashbord!B6,'academic Stress level - maintai'!H2),2)</f>
        <v>3.38</v>
      </c>
      <c r="G6" s="6">
        <f>ROUND(AVERAGEIF('academic Stress level - maintai'!B:B,Dashbord!B6,'academic Stress level - maintai'!I:I),2)</f>
        <v>3.83</v>
      </c>
    </row>
    <row r="7" spans="2:10" x14ac:dyDescent="0.75">
      <c r="B7" s="6" t="s">
        <v>20</v>
      </c>
      <c r="C7" s="6">
        <f>COUNTIF('academic Stress level - maintai'!B:B,Dashbord!B7)</f>
        <v>11</v>
      </c>
      <c r="D7" s="6">
        <f>ROUND(AVERAGEIF('academic Stress level - maintai'!B:B,Dashbord!B7,'academic Stress level - maintai'!C:C),2)</f>
        <v>3</v>
      </c>
      <c r="E7" s="6">
        <f>ROUND(AVERAGEIF('academic Stress level - maintai'!B:B,Dashbord!B7,'academic Stress level - maintai'!D:D),2)</f>
        <v>3.36</v>
      </c>
      <c r="F7" s="6">
        <f ca="1">ROUND(AVERAGEIF('academic Stress level - maintai'!B:B,Dashbord!B7,'academic Stress level - maintai'!H3),2)</f>
        <v>3.36</v>
      </c>
      <c r="G7" s="6">
        <f>ROUND(AVERAGEIF('academic Stress level - maintai'!B:B,Dashbord!B7,'academic Stress level - maintai'!I:I),2)</f>
        <v>3.73</v>
      </c>
    </row>
    <row r="10" spans="2:10" x14ac:dyDescent="0.75">
      <c r="J10" s="5"/>
    </row>
    <row r="14" spans="2:10" x14ac:dyDescent="0.75">
      <c r="B14"/>
    </row>
    <row r="15" spans="2:10" x14ac:dyDescent="0.75">
      <c r="B15"/>
    </row>
    <row r="16" spans="2:10" x14ac:dyDescent="0.75">
      <c r="B16"/>
    </row>
    <row r="17" spans="2:2" x14ac:dyDescent="0.75">
      <c r="B17"/>
    </row>
    <row r="18" spans="2:2" x14ac:dyDescent="0.75">
      <c r="B18"/>
    </row>
    <row r="19" spans="2:2" x14ac:dyDescent="0.75">
      <c r="B19"/>
    </row>
    <row r="20" spans="2:2" x14ac:dyDescent="0.75">
      <c r="B20"/>
    </row>
    <row r="21" spans="2:2" x14ac:dyDescent="0.75">
      <c r="B21"/>
    </row>
    <row r="22" spans="2:2" x14ac:dyDescent="0.75">
      <c r="B22"/>
    </row>
    <row r="23" spans="2:2" x14ac:dyDescent="0.75">
      <c r="B23"/>
    </row>
    <row r="24" spans="2:2" x14ac:dyDescent="0.75">
      <c r="B24"/>
    </row>
    <row r="25" spans="2:2" x14ac:dyDescent="0.75">
      <c r="B25"/>
    </row>
    <row r="26" spans="2:2" x14ac:dyDescent="0.75">
      <c r="B26"/>
    </row>
    <row r="27" spans="2:2" x14ac:dyDescent="0.75">
      <c r="B27"/>
    </row>
    <row r="28" spans="2:2" x14ac:dyDescent="0.75">
      <c r="B28"/>
    </row>
    <row r="29" spans="2:2" x14ac:dyDescent="0.75">
      <c r="B29"/>
    </row>
    <row r="30" spans="2:2" x14ac:dyDescent="0.75">
      <c r="B30"/>
    </row>
    <row r="31" spans="2:2" x14ac:dyDescent="0.75">
      <c r="B31"/>
    </row>
    <row r="32" spans="2:2" x14ac:dyDescent="0.75">
      <c r="B32"/>
    </row>
    <row r="33" spans="2:2" x14ac:dyDescent="0.75">
      <c r="B33"/>
    </row>
    <row r="34" spans="2:2" x14ac:dyDescent="0.75">
      <c r="B34"/>
    </row>
    <row r="35" spans="2:2" x14ac:dyDescent="0.75">
      <c r="B35"/>
    </row>
    <row r="36" spans="2:2" x14ac:dyDescent="0.75">
      <c r="B36"/>
    </row>
    <row r="37" spans="2:2" x14ac:dyDescent="0.75">
      <c r="B37"/>
    </row>
    <row r="38" spans="2:2" x14ac:dyDescent="0.75">
      <c r="B38"/>
    </row>
    <row r="39" spans="2:2" x14ac:dyDescent="0.75">
      <c r="B39"/>
    </row>
    <row r="40" spans="2:2" x14ac:dyDescent="0.75">
      <c r="B40"/>
    </row>
    <row r="41" spans="2:2" x14ac:dyDescent="0.75">
      <c r="B41"/>
    </row>
    <row r="42" spans="2:2" x14ac:dyDescent="0.75">
      <c r="B42"/>
    </row>
    <row r="43" spans="2:2" x14ac:dyDescent="0.75">
      <c r="B43"/>
    </row>
    <row r="44" spans="2:2" x14ac:dyDescent="0.75">
      <c r="B44"/>
    </row>
    <row r="45" spans="2:2" x14ac:dyDescent="0.75">
      <c r="B45"/>
    </row>
    <row r="46" spans="2:2" x14ac:dyDescent="0.75">
      <c r="B46"/>
    </row>
    <row r="47" spans="2:2" x14ac:dyDescent="0.75">
      <c r="B47"/>
    </row>
    <row r="48" spans="2:2" x14ac:dyDescent="0.75">
      <c r="B48"/>
    </row>
    <row r="49" spans="2:2" x14ac:dyDescent="0.75">
      <c r="B49"/>
    </row>
    <row r="50" spans="2:2" x14ac:dyDescent="0.75">
      <c r="B50"/>
    </row>
    <row r="51" spans="2:2" x14ac:dyDescent="0.75">
      <c r="B51"/>
    </row>
    <row r="52" spans="2:2" x14ac:dyDescent="0.75">
      <c r="B52"/>
    </row>
    <row r="53" spans="2:2" x14ac:dyDescent="0.75">
      <c r="B53"/>
    </row>
    <row r="54" spans="2:2" x14ac:dyDescent="0.75">
      <c r="B54"/>
    </row>
    <row r="55" spans="2:2" x14ac:dyDescent="0.75">
      <c r="B55"/>
    </row>
    <row r="56" spans="2:2" x14ac:dyDescent="0.75">
      <c r="B56"/>
    </row>
    <row r="57" spans="2:2" x14ac:dyDescent="0.75">
      <c r="B57"/>
    </row>
    <row r="58" spans="2:2" x14ac:dyDescent="0.75">
      <c r="B58"/>
    </row>
    <row r="59" spans="2:2" x14ac:dyDescent="0.75">
      <c r="B59"/>
    </row>
    <row r="60" spans="2:2" x14ac:dyDescent="0.75">
      <c r="B60"/>
    </row>
    <row r="61" spans="2:2" x14ac:dyDescent="0.75">
      <c r="B61"/>
    </row>
    <row r="62" spans="2:2" x14ac:dyDescent="0.75">
      <c r="B62"/>
    </row>
    <row r="63" spans="2:2" x14ac:dyDescent="0.75">
      <c r="B63"/>
    </row>
    <row r="64" spans="2:2" x14ac:dyDescent="0.75">
      <c r="B64"/>
    </row>
    <row r="65" spans="2:2" x14ac:dyDescent="0.75">
      <c r="B65"/>
    </row>
    <row r="66" spans="2:2" x14ac:dyDescent="0.75">
      <c r="B66"/>
    </row>
    <row r="67" spans="2:2" x14ac:dyDescent="0.75">
      <c r="B67"/>
    </row>
    <row r="68" spans="2:2" x14ac:dyDescent="0.75">
      <c r="B68"/>
    </row>
    <row r="69" spans="2:2" x14ac:dyDescent="0.75">
      <c r="B69"/>
    </row>
    <row r="70" spans="2:2" x14ac:dyDescent="0.75">
      <c r="B70"/>
    </row>
    <row r="71" spans="2:2" x14ac:dyDescent="0.75">
      <c r="B71"/>
    </row>
    <row r="72" spans="2:2" x14ac:dyDescent="0.75">
      <c r="B72"/>
    </row>
    <row r="73" spans="2:2" x14ac:dyDescent="0.75">
      <c r="B73"/>
    </row>
    <row r="74" spans="2:2" x14ac:dyDescent="0.75">
      <c r="B74"/>
    </row>
    <row r="75" spans="2:2" x14ac:dyDescent="0.75">
      <c r="B75"/>
    </row>
    <row r="76" spans="2:2" x14ac:dyDescent="0.75">
      <c r="B76"/>
    </row>
    <row r="77" spans="2:2" x14ac:dyDescent="0.75">
      <c r="B77"/>
    </row>
    <row r="78" spans="2:2" x14ac:dyDescent="0.75">
      <c r="B78"/>
    </row>
    <row r="79" spans="2:2" x14ac:dyDescent="0.75">
      <c r="B79"/>
    </row>
    <row r="80" spans="2:2" x14ac:dyDescent="0.75">
      <c r="B80"/>
    </row>
    <row r="81" spans="2:2" x14ac:dyDescent="0.75">
      <c r="B81"/>
    </row>
    <row r="82" spans="2:2" x14ac:dyDescent="0.75">
      <c r="B82"/>
    </row>
    <row r="83" spans="2:2" x14ac:dyDescent="0.75">
      <c r="B83"/>
    </row>
    <row r="84" spans="2:2" x14ac:dyDescent="0.75">
      <c r="B84"/>
    </row>
    <row r="85" spans="2:2" x14ac:dyDescent="0.75">
      <c r="B85"/>
    </row>
    <row r="86" spans="2:2" x14ac:dyDescent="0.75">
      <c r="B86"/>
    </row>
    <row r="87" spans="2:2" x14ac:dyDescent="0.75">
      <c r="B87"/>
    </row>
    <row r="88" spans="2:2" x14ac:dyDescent="0.75">
      <c r="B88"/>
    </row>
    <row r="89" spans="2:2" x14ac:dyDescent="0.75">
      <c r="B89"/>
    </row>
    <row r="90" spans="2:2" x14ac:dyDescent="0.75">
      <c r="B90"/>
    </row>
    <row r="91" spans="2:2" x14ac:dyDescent="0.75">
      <c r="B91"/>
    </row>
    <row r="92" spans="2:2" x14ac:dyDescent="0.75">
      <c r="B92"/>
    </row>
    <row r="93" spans="2:2" x14ac:dyDescent="0.75">
      <c r="B93"/>
    </row>
    <row r="94" spans="2:2" x14ac:dyDescent="0.75">
      <c r="B94"/>
    </row>
    <row r="95" spans="2:2" x14ac:dyDescent="0.75">
      <c r="B95"/>
    </row>
    <row r="96" spans="2:2" x14ac:dyDescent="0.75">
      <c r="B96"/>
    </row>
    <row r="97" spans="2:2" x14ac:dyDescent="0.75">
      <c r="B97"/>
    </row>
    <row r="98" spans="2:2" x14ac:dyDescent="0.75">
      <c r="B98"/>
    </row>
    <row r="99" spans="2:2" x14ac:dyDescent="0.75">
      <c r="B99"/>
    </row>
    <row r="100" spans="2:2" x14ac:dyDescent="0.75">
      <c r="B100"/>
    </row>
    <row r="101" spans="2:2" x14ac:dyDescent="0.75">
      <c r="B101"/>
    </row>
    <row r="102" spans="2:2" x14ac:dyDescent="0.75">
      <c r="B102"/>
    </row>
    <row r="103" spans="2:2" x14ac:dyDescent="0.75">
      <c r="B103"/>
    </row>
    <row r="104" spans="2:2" x14ac:dyDescent="0.75">
      <c r="B104"/>
    </row>
    <row r="105" spans="2:2" x14ac:dyDescent="0.75">
      <c r="B105"/>
    </row>
    <row r="106" spans="2:2" x14ac:dyDescent="0.75">
      <c r="B106"/>
    </row>
    <row r="107" spans="2:2" x14ac:dyDescent="0.75">
      <c r="B107"/>
    </row>
    <row r="108" spans="2:2" x14ac:dyDescent="0.75">
      <c r="B108"/>
    </row>
    <row r="109" spans="2:2" x14ac:dyDescent="0.75">
      <c r="B109"/>
    </row>
    <row r="110" spans="2:2" x14ac:dyDescent="0.75">
      <c r="B110"/>
    </row>
    <row r="111" spans="2:2" x14ac:dyDescent="0.75">
      <c r="B111"/>
    </row>
    <row r="112" spans="2:2" x14ac:dyDescent="0.75">
      <c r="B112"/>
    </row>
    <row r="113" spans="2:2" x14ac:dyDescent="0.75">
      <c r="B113"/>
    </row>
    <row r="114" spans="2:2" x14ac:dyDescent="0.75">
      <c r="B114"/>
    </row>
    <row r="115" spans="2:2" x14ac:dyDescent="0.75">
      <c r="B115"/>
    </row>
    <row r="116" spans="2:2" x14ac:dyDescent="0.75">
      <c r="B116"/>
    </row>
    <row r="117" spans="2:2" x14ac:dyDescent="0.75">
      <c r="B117"/>
    </row>
    <row r="118" spans="2:2" x14ac:dyDescent="0.75">
      <c r="B118"/>
    </row>
    <row r="119" spans="2:2" x14ac:dyDescent="0.75">
      <c r="B119"/>
    </row>
    <row r="120" spans="2:2" x14ac:dyDescent="0.75">
      <c r="B120"/>
    </row>
    <row r="121" spans="2:2" x14ac:dyDescent="0.75">
      <c r="B121"/>
    </row>
    <row r="122" spans="2:2" x14ac:dyDescent="0.75">
      <c r="B122"/>
    </row>
    <row r="123" spans="2:2" x14ac:dyDescent="0.75">
      <c r="B123"/>
    </row>
    <row r="124" spans="2:2" x14ac:dyDescent="0.75">
      <c r="B124"/>
    </row>
    <row r="125" spans="2:2" x14ac:dyDescent="0.75">
      <c r="B125"/>
    </row>
    <row r="126" spans="2:2" x14ac:dyDescent="0.75">
      <c r="B126"/>
    </row>
    <row r="127" spans="2:2" x14ac:dyDescent="0.75">
      <c r="B127"/>
    </row>
    <row r="128" spans="2:2" x14ac:dyDescent="0.75">
      <c r="B128"/>
    </row>
    <row r="129" spans="2:2" x14ac:dyDescent="0.75">
      <c r="B129"/>
    </row>
    <row r="130" spans="2:2" x14ac:dyDescent="0.75">
      <c r="B130"/>
    </row>
    <row r="131" spans="2:2" x14ac:dyDescent="0.75">
      <c r="B131"/>
    </row>
    <row r="132" spans="2:2" x14ac:dyDescent="0.75">
      <c r="B132"/>
    </row>
    <row r="133" spans="2:2" x14ac:dyDescent="0.75">
      <c r="B133"/>
    </row>
    <row r="134" spans="2:2" x14ac:dyDescent="0.75">
      <c r="B134"/>
    </row>
    <row r="135" spans="2:2" x14ac:dyDescent="0.75">
      <c r="B135"/>
    </row>
    <row r="136" spans="2:2" x14ac:dyDescent="0.75">
      <c r="B136"/>
    </row>
    <row r="137" spans="2:2" x14ac:dyDescent="0.75">
      <c r="B137"/>
    </row>
    <row r="138" spans="2:2" x14ac:dyDescent="0.75">
      <c r="B138"/>
    </row>
    <row r="139" spans="2:2" x14ac:dyDescent="0.75">
      <c r="B139"/>
    </row>
    <row r="140" spans="2:2" x14ac:dyDescent="0.75">
      <c r="B140"/>
    </row>
    <row r="141" spans="2:2" x14ac:dyDescent="0.75">
      <c r="B141"/>
    </row>
    <row r="142" spans="2:2" x14ac:dyDescent="0.75">
      <c r="B142"/>
    </row>
    <row r="143" spans="2:2" x14ac:dyDescent="0.75">
      <c r="B143"/>
    </row>
    <row r="144" spans="2:2" x14ac:dyDescent="0.75">
      <c r="B144"/>
    </row>
    <row r="145" spans="2:2" x14ac:dyDescent="0.75">
      <c r="B145"/>
    </row>
    <row r="146" spans="2:2" x14ac:dyDescent="0.75">
      <c r="B146"/>
    </row>
    <row r="147" spans="2:2" x14ac:dyDescent="0.75">
      <c r="B147"/>
    </row>
    <row r="148" spans="2:2" x14ac:dyDescent="0.75">
      <c r="B148"/>
    </row>
    <row r="149" spans="2:2" x14ac:dyDescent="0.75">
      <c r="B149"/>
    </row>
    <row r="150" spans="2:2" x14ac:dyDescent="0.75">
      <c r="B150"/>
    </row>
    <row r="151" spans="2:2" x14ac:dyDescent="0.75">
      <c r="B151"/>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344A4-C04F-4093-8A8B-A4F322A035AD}">
  <dimension ref="B1:F21"/>
  <sheetViews>
    <sheetView workbookViewId="0">
      <selection activeCell="E25" sqref="E25"/>
    </sheetView>
  </sheetViews>
  <sheetFormatPr defaultRowHeight="14.75" x14ac:dyDescent="0.75"/>
  <cols>
    <col min="2" max="2" width="23.81640625" customWidth="1"/>
    <col min="3" max="3" width="16.58984375" bestFit="1" customWidth="1"/>
    <col min="4" max="4" width="9.86328125" bestFit="1" customWidth="1"/>
    <col min="5" max="5" width="18.31640625" customWidth="1"/>
    <col min="6" max="6" width="18.90625" customWidth="1"/>
  </cols>
  <sheetData>
    <row r="1" spans="2:6" x14ac:dyDescent="0.75">
      <c r="C1" t="s">
        <v>73</v>
      </c>
      <c r="E1" s="10">
        <f ca="1">TODAY()</f>
        <v>45912</v>
      </c>
      <c r="F1" s="10" t="s">
        <v>74</v>
      </c>
    </row>
    <row r="2" spans="2:6" x14ac:dyDescent="0.75">
      <c r="E2" s="12">
        <f ca="1">NOW()</f>
        <v>45912.705750694447</v>
      </c>
      <c r="F2" s="10" t="s">
        <v>75</v>
      </c>
    </row>
    <row r="3" spans="2:6" x14ac:dyDescent="0.75">
      <c r="B3" s="3" t="s">
        <v>41</v>
      </c>
      <c r="C3" s="3"/>
      <c r="D3" s="3"/>
      <c r="E3" s="3"/>
      <c r="F3" s="13">
        <f ca="1">NOW()</f>
        <v>45912.705750694447</v>
      </c>
    </row>
    <row r="4" spans="2:6" x14ac:dyDescent="0.75">
      <c r="B4" s="3"/>
      <c r="C4" s="3" t="s">
        <v>42</v>
      </c>
      <c r="D4" s="3" t="s">
        <v>43</v>
      </c>
      <c r="E4" s="3" t="s">
        <v>44</v>
      </c>
      <c r="F4" s="3" t="s">
        <v>45</v>
      </c>
    </row>
    <row r="5" spans="2:6" x14ac:dyDescent="0.75">
      <c r="B5" s="3" t="s">
        <v>46</v>
      </c>
      <c r="C5" s="3" t="s">
        <v>47</v>
      </c>
      <c r="D5" s="3" t="s">
        <v>48</v>
      </c>
      <c r="E5" s="3" t="s">
        <v>49</v>
      </c>
      <c r="F5" s="3" t="s">
        <v>50</v>
      </c>
    </row>
    <row r="6" spans="2:6" x14ac:dyDescent="0.75">
      <c r="B6" s="3"/>
      <c r="C6" s="3" t="s">
        <v>51</v>
      </c>
      <c r="D6" s="3" t="s">
        <v>52</v>
      </c>
      <c r="E6" s="3" t="s">
        <v>53</v>
      </c>
      <c r="F6" s="3" t="s">
        <v>54</v>
      </c>
    </row>
    <row r="7" spans="2:6" x14ac:dyDescent="0.75">
      <c r="B7" s="3" t="s">
        <v>55</v>
      </c>
      <c r="C7" s="3" t="s">
        <v>56</v>
      </c>
      <c r="D7" s="3" t="s">
        <v>57</v>
      </c>
      <c r="E7" s="3" t="s">
        <v>58</v>
      </c>
      <c r="F7" s="3" t="s">
        <v>59</v>
      </c>
    </row>
    <row r="8" spans="2:6" x14ac:dyDescent="0.75">
      <c r="B8" s="3"/>
      <c r="C8" s="3"/>
      <c r="D8" s="3"/>
      <c r="E8" s="3" t="s">
        <v>60</v>
      </c>
      <c r="F8" s="3" t="s">
        <v>61</v>
      </c>
    </row>
    <row r="9" spans="2:6" x14ac:dyDescent="0.75">
      <c r="B9" s="3" t="s">
        <v>62</v>
      </c>
      <c r="C9" s="3"/>
      <c r="D9" s="3"/>
      <c r="E9" s="3" t="s">
        <v>63</v>
      </c>
      <c r="F9" s="3" t="s">
        <v>64</v>
      </c>
    </row>
    <row r="11" spans="2:6" x14ac:dyDescent="0.75">
      <c r="B11" s="10">
        <v>45912</v>
      </c>
    </row>
    <row r="12" spans="2:6" x14ac:dyDescent="0.75">
      <c r="B12" s="11">
        <v>0.44027777777777777</v>
      </c>
      <c r="D12" t="s">
        <v>65</v>
      </c>
    </row>
    <row r="14" spans="2:6" x14ac:dyDescent="0.75">
      <c r="B14" t="s">
        <v>66</v>
      </c>
      <c r="D14" s="10" t="s">
        <v>79</v>
      </c>
      <c r="E14" s="15">
        <f ca="1">NOW()</f>
        <v>45912.705750694447</v>
      </c>
    </row>
    <row r="15" spans="2:6" x14ac:dyDescent="0.75">
      <c r="B15" t="s">
        <v>67</v>
      </c>
      <c r="C15" s="14">
        <v>45901</v>
      </c>
    </row>
    <row r="16" spans="2:6" x14ac:dyDescent="0.75">
      <c r="B16" t="s">
        <v>68</v>
      </c>
      <c r="C16" s="14">
        <v>45951</v>
      </c>
    </row>
    <row r="17" spans="2:5" x14ac:dyDescent="0.75">
      <c r="B17" t="s">
        <v>69</v>
      </c>
      <c r="C17">
        <f>C16-C15</f>
        <v>50</v>
      </c>
      <c r="D17" t="s">
        <v>70</v>
      </c>
    </row>
    <row r="18" spans="2:5" x14ac:dyDescent="0.75">
      <c r="B18" t="s">
        <v>71</v>
      </c>
      <c r="C18">
        <f>NETWORKDAYS(C15,C16,E19:E20)</f>
        <v>35</v>
      </c>
    </row>
    <row r="19" spans="2:5" x14ac:dyDescent="0.75">
      <c r="B19" t="s">
        <v>72</v>
      </c>
      <c r="C19">
        <f>C17-C18</f>
        <v>15</v>
      </c>
      <c r="D19" t="s">
        <v>76</v>
      </c>
      <c r="E19" s="14">
        <v>45904</v>
      </c>
    </row>
    <row r="20" spans="2:5" x14ac:dyDescent="0.75">
      <c r="D20" t="s">
        <v>77</v>
      </c>
      <c r="E20" s="14">
        <v>45902</v>
      </c>
    </row>
    <row r="21" spans="2:5" x14ac:dyDescent="0.75">
      <c r="B21" t="s">
        <v>78</v>
      </c>
      <c r="C21" s="15">
        <f ca="1">EOMONTH(E14,0)</f>
        <v>45930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017E3-8211-4232-B4A6-6FF2FCC6C39A}">
  <sheetPr>
    <tabColor rgb="FFFF0000"/>
  </sheetPr>
  <dimension ref="A1:I148"/>
  <sheetViews>
    <sheetView tabSelected="1" zoomScale="84" zoomScaleNormal="40" workbookViewId="0">
      <selection activeCell="A131" sqref="A131:XFD131"/>
    </sheetView>
  </sheetViews>
  <sheetFormatPr defaultRowHeight="14.75" x14ac:dyDescent="0.75"/>
  <cols>
    <col min="1" max="1" width="15.58984375" style="1" customWidth="1"/>
    <col min="2" max="2" width="17.90625" style="1" customWidth="1"/>
    <col min="3" max="3" width="11.1796875" style="1" bestFit="1" customWidth="1"/>
    <col min="4" max="4" width="13.5" style="1" customWidth="1"/>
    <col min="5" max="5" width="8.7265625" style="1"/>
    <col min="6" max="6" width="44.953125" style="1" customWidth="1"/>
    <col min="7" max="7" width="21.40625" style="1" customWidth="1"/>
    <col min="8" max="8" width="22.08984375" style="1" customWidth="1"/>
    <col min="9" max="9" width="11.31640625" style="1" customWidth="1"/>
    <col min="10" max="16384" width="8.7265625" style="1"/>
  </cols>
  <sheetData>
    <row r="1" spans="1:9" ht="59" x14ac:dyDescent="0.75">
      <c r="A1" s="1" t="s">
        <v>0</v>
      </c>
      <c r="B1" s="1" t="s">
        <v>1</v>
      </c>
      <c r="C1" s="1" t="s">
        <v>2</v>
      </c>
      <c r="D1" s="1" t="s">
        <v>3</v>
      </c>
      <c r="E1" s="1" t="s">
        <v>4</v>
      </c>
      <c r="F1" s="1" t="s">
        <v>5</v>
      </c>
      <c r="G1" s="1" t="s">
        <v>6</v>
      </c>
      <c r="H1" s="1" t="s">
        <v>7</v>
      </c>
      <c r="I1" s="1" t="s">
        <v>8</v>
      </c>
    </row>
    <row r="2" spans="1:9" x14ac:dyDescent="0.75">
      <c r="A2" s="2">
        <v>45862.920590277776</v>
      </c>
      <c r="B2" s="1" t="s">
        <v>9</v>
      </c>
      <c r="C2" s="1">
        <v>4</v>
      </c>
      <c r="D2" s="1">
        <v>5</v>
      </c>
      <c r="E2" s="1" t="s">
        <v>10</v>
      </c>
      <c r="F2" s="1" t="s">
        <v>11</v>
      </c>
      <c r="G2" s="1" t="s">
        <v>12</v>
      </c>
      <c r="H2" s="1">
        <v>3</v>
      </c>
      <c r="I2" s="1">
        <v>5</v>
      </c>
    </row>
    <row r="3" spans="1:9" x14ac:dyDescent="0.75">
      <c r="A3" s="2">
        <v>45862.920740740738</v>
      </c>
      <c r="B3" s="1" t="s">
        <v>9</v>
      </c>
      <c r="C3" s="1">
        <v>3</v>
      </c>
      <c r="D3" s="1">
        <v>4</v>
      </c>
      <c r="E3" s="1" t="s">
        <v>13</v>
      </c>
      <c r="F3" s="1" t="s">
        <v>11</v>
      </c>
      <c r="G3" s="1" t="s">
        <v>12</v>
      </c>
      <c r="H3" s="1">
        <v>3</v>
      </c>
      <c r="I3" s="1">
        <v>3</v>
      </c>
    </row>
    <row r="4" spans="1:9" x14ac:dyDescent="0.75">
      <c r="A4" s="2">
        <v>45862.921284722222</v>
      </c>
      <c r="B4" s="1" t="s">
        <v>9</v>
      </c>
      <c r="C4" s="1">
        <v>1</v>
      </c>
      <c r="D4" s="1">
        <v>1</v>
      </c>
      <c r="E4" s="1" t="s">
        <v>13</v>
      </c>
      <c r="F4" s="1" t="s">
        <v>14</v>
      </c>
      <c r="G4" s="1" t="s">
        <v>12</v>
      </c>
      <c r="H4" s="1">
        <v>2</v>
      </c>
      <c r="I4" s="1">
        <v>4</v>
      </c>
    </row>
    <row r="5" spans="1:9" x14ac:dyDescent="0.75">
      <c r="A5" s="2">
        <v>45862.921354166669</v>
      </c>
      <c r="B5" s="1" t="s">
        <v>9</v>
      </c>
      <c r="C5" s="1">
        <v>3</v>
      </c>
      <c r="D5" s="1">
        <v>2</v>
      </c>
      <c r="E5" s="1" t="s">
        <v>13</v>
      </c>
      <c r="F5" s="1" t="s">
        <v>11</v>
      </c>
      <c r="G5" s="1" t="s">
        <v>12</v>
      </c>
      <c r="H5" s="1">
        <v>4</v>
      </c>
      <c r="I5" s="1">
        <v>3</v>
      </c>
    </row>
    <row r="6" spans="1:9" x14ac:dyDescent="0.75">
      <c r="A6" s="2">
        <v>45862.922291666669</v>
      </c>
      <c r="B6" s="1" t="s">
        <v>9</v>
      </c>
      <c r="C6" s="1">
        <v>3</v>
      </c>
      <c r="D6" s="1">
        <v>3</v>
      </c>
      <c r="E6" s="1" t="s">
        <v>13</v>
      </c>
      <c r="F6" s="1" t="s">
        <v>11</v>
      </c>
      <c r="G6" s="1" t="s">
        <v>12</v>
      </c>
      <c r="H6" s="1">
        <v>4</v>
      </c>
      <c r="I6" s="1">
        <v>5</v>
      </c>
    </row>
    <row r="7" spans="1:9" x14ac:dyDescent="0.75">
      <c r="A7" s="2">
        <v>45862.922372685185</v>
      </c>
      <c r="B7" s="1" t="s">
        <v>9</v>
      </c>
      <c r="C7" s="1">
        <v>3</v>
      </c>
      <c r="D7" s="1">
        <v>3</v>
      </c>
      <c r="E7" s="1" t="s">
        <v>13</v>
      </c>
      <c r="F7" s="1" t="s">
        <v>11</v>
      </c>
      <c r="G7" s="1" t="s">
        <v>12</v>
      </c>
      <c r="H7" s="1">
        <v>4</v>
      </c>
      <c r="I7" s="1">
        <v>4</v>
      </c>
    </row>
    <row r="8" spans="1:9" x14ac:dyDescent="0.75">
      <c r="A8" s="2">
        <v>45862.923159722224</v>
      </c>
      <c r="B8" s="1" t="s">
        <v>9</v>
      </c>
      <c r="C8" s="1">
        <v>5</v>
      </c>
      <c r="D8" s="1">
        <v>5</v>
      </c>
      <c r="E8" s="1" t="s">
        <v>15</v>
      </c>
      <c r="F8" s="1" t="s">
        <v>16</v>
      </c>
      <c r="G8" s="1" t="s">
        <v>12</v>
      </c>
      <c r="H8" s="1">
        <v>4</v>
      </c>
      <c r="I8" s="1">
        <v>4</v>
      </c>
    </row>
    <row r="9" spans="1:9" x14ac:dyDescent="0.75">
      <c r="A9" s="2">
        <v>45862.923680555556</v>
      </c>
      <c r="B9" s="1" t="s">
        <v>9</v>
      </c>
      <c r="C9" s="1">
        <v>3</v>
      </c>
      <c r="D9" s="1">
        <v>2</v>
      </c>
      <c r="E9" s="1" t="s">
        <v>13</v>
      </c>
      <c r="F9" s="1" t="s">
        <v>14</v>
      </c>
      <c r="G9" s="1" t="s">
        <v>12</v>
      </c>
      <c r="H9" s="1">
        <v>3</v>
      </c>
      <c r="I9" s="1">
        <v>3</v>
      </c>
    </row>
    <row r="10" spans="1:9" x14ac:dyDescent="0.75">
      <c r="A10" s="2">
        <v>45862.924317129633</v>
      </c>
      <c r="B10" s="1" t="s">
        <v>9</v>
      </c>
      <c r="C10" s="1">
        <v>2</v>
      </c>
      <c r="D10" s="1">
        <v>2</v>
      </c>
      <c r="E10" s="1" t="s">
        <v>13</v>
      </c>
      <c r="F10" s="1" t="s">
        <v>11</v>
      </c>
      <c r="G10" s="1" t="s">
        <v>12</v>
      </c>
      <c r="H10" s="1">
        <v>2</v>
      </c>
      <c r="I10" s="1">
        <v>2</v>
      </c>
    </row>
    <row r="11" spans="1:9" x14ac:dyDescent="0.75">
      <c r="A11" s="2">
        <v>45862.924525462964</v>
      </c>
      <c r="B11" s="1" t="s">
        <v>9</v>
      </c>
      <c r="C11" s="1">
        <v>2</v>
      </c>
      <c r="D11" s="1">
        <v>2</v>
      </c>
      <c r="E11" s="1" t="s">
        <v>13</v>
      </c>
      <c r="F11" s="1" t="s">
        <v>11</v>
      </c>
      <c r="G11" s="1" t="s">
        <v>12</v>
      </c>
      <c r="H11" s="1">
        <v>4</v>
      </c>
      <c r="I11" s="1">
        <v>2</v>
      </c>
    </row>
    <row r="12" spans="1:9" x14ac:dyDescent="0.75">
      <c r="A12" s="2">
        <v>45862.925138888888</v>
      </c>
      <c r="B12" s="1" t="s">
        <v>9</v>
      </c>
      <c r="C12" s="1">
        <v>3</v>
      </c>
      <c r="D12" s="1">
        <v>2</v>
      </c>
      <c r="E12" s="1" t="s">
        <v>15</v>
      </c>
      <c r="F12" s="1" t="s">
        <v>16</v>
      </c>
      <c r="G12" s="1" t="s">
        <v>12</v>
      </c>
      <c r="H12" s="1">
        <v>3</v>
      </c>
      <c r="I12" s="1">
        <v>5</v>
      </c>
    </row>
    <row r="13" spans="1:9" x14ac:dyDescent="0.75">
      <c r="A13" s="2">
        <v>45862.92527777778</v>
      </c>
      <c r="B13" s="1" t="s">
        <v>9</v>
      </c>
      <c r="C13" s="1">
        <v>4</v>
      </c>
      <c r="D13" s="1">
        <v>5</v>
      </c>
      <c r="E13" s="1" t="s">
        <v>13</v>
      </c>
      <c r="F13" s="1" t="s">
        <v>11</v>
      </c>
      <c r="G13" s="1" t="s">
        <v>12</v>
      </c>
      <c r="H13" s="1">
        <v>3</v>
      </c>
      <c r="I13" s="1">
        <v>3</v>
      </c>
    </row>
    <row r="14" spans="1:9" x14ac:dyDescent="0.75">
      <c r="A14" s="2">
        <v>45862.925312500003</v>
      </c>
      <c r="B14" s="1" t="s">
        <v>9</v>
      </c>
      <c r="C14" s="1">
        <v>2</v>
      </c>
      <c r="D14" s="1">
        <v>3</v>
      </c>
      <c r="E14" s="1" t="s">
        <v>10</v>
      </c>
      <c r="F14" s="1" t="s">
        <v>16</v>
      </c>
      <c r="G14" s="1" t="s">
        <v>12</v>
      </c>
      <c r="H14" s="1">
        <v>2</v>
      </c>
      <c r="I14" s="1">
        <v>2</v>
      </c>
    </row>
    <row r="15" spans="1:9" x14ac:dyDescent="0.75">
      <c r="A15" s="2">
        <v>45862.925555555557</v>
      </c>
      <c r="B15" s="1" t="s">
        <v>9</v>
      </c>
      <c r="C15" s="1">
        <v>2</v>
      </c>
      <c r="D15" s="1">
        <v>3</v>
      </c>
      <c r="E15" s="1" t="s">
        <v>15</v>
      </c>
      <c r="F15" s="1" t="s">
        <v>11</v>
      </c>
      <c r="G15" s="1" t="s">
        <v>12</v>
      </c>
      <c r="H15" s="1">
        <v>4</v>
      </c>
      <c r="I15" s="1">
        <v>2</v>
      </c>
    </row>
    <row r="16" spans="1:9" x14ac:dyDescent="0.75">
      <c r="A16" s="2">
        <v>45862.926574074074</v>
      </c>
      <c r="B16" s="1" t="s">
        <v>9</v>
      </c>
      <c r="C16" s="1">
        <v>3</v>
      </c>
      <c r="D16" s="1">
        <v>4</v>
      </c>
      <c r="E16" s="1" t="s">
        <v>15</v>
      </c>
      <c r="F16" s="1" t="s">
        <v>14</v>
      </c>
      <c r="G16" s="1" t="s">
        <v>17</v>
      </c>
      <c r="H16" s="1">
        <v>3</v>
      </c>
      <c r="I16" s="1">
        <v>4</v>
      </c>
    </row>
    <row r="17" spans="1:9" x14ac:dyDescent="0.75">
      <c r="A17" s="2">
        <v>45862.927152777775</v>
      </c>
      <c r="B17" s="1" t="s">
        <v>9</v>
      </c>
      <c r="C17" s="1">
        <v>5</v>
      </c>
      <c r="D17" s="1">
        <v>5</v>
      </c>
      <c r="E17" s="1" t="s">
        <v>10</v>
      </c>
      <c r="F17" s="1" t="s">
        <v>11</v>
      </c>
      <c r="G17" s="1" t="s">
        <v>12</v>
      </c>
      <c r="H17" s="1">
        <v>4</v>
      </c>
      <c r="I17" s="1">
        <v>4</v>
      </c>
    </row>
    <row r="18" spans="1:9" x14ac:dyDescent="0.75">
      <c r="A18" s="2">
        <v>45862.927534722221</v>
      </c>
      <c r="B18" s="1" t="s">
        <v>9</v>
      </c>
      <c r="C18" s="1">
        <v>3</v>
      </c>
      <c r="D18" s="1">
        <v>3</v>
      </c>
      <c r="E18" s="1" t="s">
        <v>13</v>
      </c>
      <c r="F18" s="1" t="s">
        <v>11</v>
      </c>
      <c r="G18" s="1" t="s">
        <v>12</v>
      </c>
      <c r="H18" s="1">
        <v>5</v>
      </c>
      <c r="I18" s="1">
        <v>5</v>
      </c>
    </row>
    <row r="19" spans="1:9" x14ac:dyDescent="0.75">
      <c r="A19" s="2">
        <v>45862.927893518521</v>
      </c>
      <c r="B19" s="1" t="s">
        <v>9</v>
      </c>
      <c r="C19" s="1">
        <v>3</v>
      </c>
      <c r="D19" s="1">
        <v>5</v>
      </c>
      <c r="E19" s="1" t="s">
        <v>15</v>
      </c>
      <c r="F19" s="1" t="s">
        <v>11</v>
      </c>
      <c r="G19" s="1" t="s">
        <v>12</v>
      </c>
      <c r="H19" s="1">
        <v>5</v>
      </c>
      <c r="I19" s="1">
        <v>4</v>
      </c>
    </row>
    <row r="20" spans="1:9" x14ac:dyDescent="0.75">
      <c r="A20" s="2">
        <v>45862.928391203706</v>
      </c>
      <c r="B20" s="1" t="s">
        <v>9</v>
      </c>
      <c r="C20" s="1">
        <v>3</v>
      </c>
      <c r="D20" s="1">
        <v>3</v>
      </c>
      <c r="E20" s="1" t="s">
        <v>13</v>
      </c>
      <c r="F20" s="1" t="s">
        <v>16</v>
      </c>
      <c r="G20" s="1" t="s">
        <v>12</v>
      </c>
      <c r="H20" s="1">
        <v>4</v>
      </c>
      <c r="I20" s="1">
        <v>3</v>
      </c>
    </row>
    <row r="21" spans="1:9" x14ac:dyDescent="0.75">
      <c r="A21" s="2">
        <v>45862.92900462963</v>
      </c>
      <c r="B21" s="1" t="s">
        <v>9</v>
      </c>
      <c r="C21" s="1">
        <v>3</v>
      </c>
      <c r="D21" s="1">
        <v>4</v>
      </c>
      <c r="E21" s="1" t="s">
        <v>13</v>
      </c>
      <c r="F21" s="1" t="s">
        <v>14</v>
      </c>
      <c r="G21" s="1" t="s">
        <v>12</v>
      </c>
      <c r="H21" s="1">
        <v>4</v>
      </c>
      <c r="I21" s="1">
        <v>3</v>
      </c>
    </row>
    <row r="22" spans="1:9" x14ac:dyDescent="0.75">
      <c r="A22" s="2">
        <v>45862.929189814815</v>
      </c>
      <c r="B22" s="1" t="s">
        <v>9</v>
      </c>
      <c r="C22" s="1">
        <v>4</v>
      </c>
      <c r="D22" s="1">
        <v>3</v>
      </c>
      <c r="E22" s="1" t="s">
        <v>13</v>
      </c>
      <c r="F22" s="1" t="s">
        <v>11</v>
      </c>
      <c r="G22" s="1" t="s">
        <v>12</v>
      </c>
      <c r="H22" s="1">
        <v>4</v>
      </c>
      <c r="I22" s="1">
        <v>4</v>
      </c>
    </row>
    <row r="23" spans="1:9" x14ac:dyDescent="0.75">
      <c r="A23" s="2">
        <v>45862.929675925923</v>
      </c>
      <c r="B23" s="1" t="s">
        <v>9</v>
      </c>
      <c r="C23" s="1">
        <v>3</v>
      </c>
      <c r="D23" s="1">
        <v>3</v>
      </c>
      <c r="E23" s="1" t="s">
        <v>13</v>
      </c>
      <c r="F23" s="1" t="s">
        <v>11</v>
      </c>
      <c r="G23" s="1" t="s">
        <v>12</v>
      </c>
      <c r="H23" s="1">
        <v>4</v>
      </c>
      <c r="I23" s="1">
        <v>3</v>
      </c>
    </row>
    <row r="24" spans="1:9" x14ac:dyDescent="0.75">
      <c r="A24" s="2">
        <v>45862.929803240739</v>
      </c>
      <c r="B24" s="1" t="s">
        <v>9</v>
      </c>
      <c r="C24" s="1">
        <v>3</v>
      </c>
      <c r="D24" s="1">
        <v>3</v>
      </c>
      <c r="E24" s="1" t="s">
        <v>13</v>
      </c>
      <c r="F24" s="1" t="s">
        <v>11</v>
      </c>
      <c r="G24" s="1" t="s">
        <v>12</v>
      </c>
      <c r="H24" s="1">
        <v>4</v>
      </c>
      <c r="I24" s="1">
        <v>3</v>
      </c>
    </row>
    <row r="25" spans="1:9" x14ac:dyDescent="0.75">
      <c r="A25" s="2">
        <v>45862.929837962962</v>
      </c>
      <c r="B25" s="1" t="s">
        <v>9</v>
      </c>
      <c r="C25" s="1">
        <v>5</v>
      </c>
      <c r="D25" s="1">
        <v>1</v>
      </c>
      <c r="E25" s="1" t="s">
        <v>15</v>
      </c>
      <c r="F25" s="1" t="s">
        <v>11</v>
      </c>
      <c r="G25" s="1" t="s">
        <v>12</v>
      </c>
      <c r="H25" s="1">
        <v>5</v>
      </c>
      <c r="I25" s="1">
        <v>3</v>
      </c>
    </row>
    <row r="26" spans="1:9" x14ac:dyDescent="0.75">
      <c r="A26" s="2">
        <v>45862.929930555554</v>
      </c>
      <c r="B26" s="1" t="s">
        <v>9</v>
      </c>
      <c r="C26" s="1">
        <v>4</v>
      </c>
      <c r="D26" s="1">
        <v>5</v>
      </c>
      <c r="E26" s="1" t="s">
        <v>15</v>
      </c>
      <c r="F26" s="1" t="s">
        <v>11</v>
      </c>
      <c r="G26" s="1" t="s">
        <v>12</v>
      </c>
      <c r="H26" s="1">
        <v>4</v>
      </c>
      <c r="I26" s="1">
        <v>4</v>
      </c>
    </row>
    <row r="27" spans="1:9" x14ac:dyDescent="0.75">
      <c r="A27" s="2">
        <v>45862.930115740739</v>
      </c>
      <c r="B27" s="1" t="s">
        <v>9</v>
      </c>
      <c r="C27" s="1">
        <v>4</v>
      </c>
      <c r="D27" s="1">
        <v>3</v>
      </c>
      <c r="E27" s="1" t="s">
        <v>13</v>
      </c>
      <c r="F27" s="1" t="s">
        <v>11</v>
      </c>
      <c r="G27" s="1" t="s">
        <v>12</v>
      </c>
      <c r="H27" s="1">
        <v>4</v>
      </c>
      <c r="I27" s="1">
        <v>4</v>
      </c>
    </row>
    <row r="28" spans="1:9" x14ac:dyDescent="0.75">
      <c r="A28" s="2">
        <v>45862.930150462962</v>
      </c>
      <c r="B28" s="1" t="s">
        <v>9</v>
      </c>
      <c r="C28" s="1">
        <v>4</v>
      </c>
      <c r="D28" s="1">
        <v>5</v>
      </c>
      <c r="E28" s="1" t="s">
        <v>15</v>
      </c>
      <c r="F28" s="1" t="s">
        <v>11</v>
      </c>
      <c r="G28" s="1" t="s">
        <v>18</v>
      </c>
      <c r="H28" s="1">
        <v>4</v>
      </c>
      <c r="I28" s="1">
        <v>5</v>
      </c>
    </row>
    <row r="29" spans="1:9" x14ac:dyDescent="0.75">
      <c r="A29" s="2">
        <v>45862.930243055554</v>
      </c>
      <c r="B29" s="1" t="s">
        <v>19</v>
      </c>
      <c r="C29" s="1">
        <v>3</v>
      </c>
      <c r="D29" s="1">
        <v>4</v>
      </c>
      <c r="E29" s="1" t="s">
        <v>15</v>
      </c>
      <c r="F29" s="1" t="s">
        <v>11</v>
      </c>
      <c r="G29" s="1" t="s">
        <v>12</v>
      </c>
      <c r="H29" s="1">
        <v>3</v>
      </c>
      <c r="I29" s="1">
        <v>4</v>
      </c>
    </row>
    <row r="30" spans="1:9" x14ac:dyDescent="0.75">
      <c r="A30" s="2">
        <v>45862.930451388886</v>
      </c>
      <c r="B30" s="1" t="s">
        <v>9</v>
      </c>
      <c r="C30" s="1">
        <v>5</v>
      </c>
      <c r="D30" s="1">
        <v>1</v>
      </c>
      <c r="E30" s="1" t="s">
        <v>15</v>
      </c>
      <c r="F30" s="1" t="s">
        <v>14</v>
      </c>
      <c r="G30" s="1" t="s">
        <v>12</v>
      </c>
      <c r="H30" s="1">
        <v>4</v>
      </c>
      <c r="I30" s="1">
        <v>5</v>
      </c>
    </row>
    <row r="31" spans="1:9" x14ac:dyDescent="0.75">
      <c r="A31" s="2">
        <v>45862.930879629632</v>
      </c>
      <c r="B31" s="1" t="s">
        <v>9</v>
      </c>
      <c r="C31" s="1">
        <v>4</v>
      </c>
      <c r="D31" s="1">
        <v>3</v>
      </c>
      <c r="E31" s="1" t="s">
        <v>13</v>
      </c>
      <c r="F31" s="1" t="s">
        <v>11</v>
      </c>
      <c r="G31" s="1" t="s">
        <v>12</v>
      </c>
      <c r="H31" s="1">
        <v>5</v>
      </c>
      <c r="I31" s="1">
        <v>4</v>
      </c>
    </row>
    <row r="32" spans="1:9" x14ac:dyDescent="0.75">
      <c r="A32" s="2">
        <v>45862.931296296294</v>
      </c>
      <c r="B32" s="1" t="s">
        <v>9</v>
      </c>
      <c r="C32" s="1">
        <v>5</v>
      </c>
      <c r="D32" s="1">
        <v>5</v>
      </c>
      <c r="E32" s="1" t="s">
        <v>15</v>
      </c>
      <c r="F32" s="1" t="s">
        <v>16</v>
      </c>
      <c r="G32" s="1" t="s">
        <v>18</v>
      </c>
      <c r="H32" s="1">
        <v>5</v>
      </c>
      <c r="I32" s="1">
        <v>5</v>
      </c>
    </row>
    <row r="33" spans="1:9" x14ac:dyDescent="0.75">
      <c r="A33" s="2">
        <v>45862.932812500003</v>
      </c>
      <c r="B33" s="1" t="s">
        <v>9</v>
      </c>
      <c r="C33" s="1">
        <v>3</v>
      </c>
      <c r="D33" s="1">
        <v>1</v>
      </c>
      <c r="E33" s="1" t="s">
        <v>15</v>
      </c>
      <c r="F33" s="1" t="s">
        <v>16</v>
      </c>
      <c r="G33" s="1" t="s">
        <v>12</v>
      </c>
      <c r="H33" s="1">
        <v>4</v>
      </c>
      <c r="I33" s="1">
        <v>4</v>
      </c>
    </row>
    <row r="34" spans="1:9" x14ac:dyDescent="0.75">
      <c r="A34" s="2">
        <v>45862.933483796296</v>
      </c>
      <c r="B34" s="1" t="s">
        <v>9</v>
      </c>
      <c r="C34" s="1">
        <v>3</v>
      </c>
      <c r="D34" s="1">
        <v>2</v>
      </c>
      <c r="E34" s="1" t="s">
        <v>13</v>
      </c>
      <c r="F34" s="1" t="s">
        <v>16</v>
      </c>
      <c r="G34" s="1" t="s">
        <v>12</v>
      </c>
      <c r="H34" s="1">
        <v>4</v>
      </c>
      <c r="I34" s="1">
        <v>3</v>
      </c>
    </row>
    <row r="35" spans="1:9" x14ac:dyDescent="0.75">
      <c r="A35" s="2">
        <v>45862.933946759258</v>
      </c>
      <c r="B35" s="1" t="s">
        <v>9</v>
      </c>
      <c r="C35" s="1">
        <v>1</v>
      </c>
      <c r="D35" s="1">
        <v>1</v>
      </c>
      <c r="E35" s="1" t="s">
        <v>13</v>
      </c>
      <c r="F35" s="1" t="s">
        <v>11</v>
      </c>
      <c r="G35" s="1" t="s">
        <v>17</v>
      </c>
      <c r="H35" s="1">
        <v>1</v>
      </c>
      <c r="I35" s="1">
        <v>1</v>
      </c>
    </row>
    <row r="36" spans="1:9" x14ac:dyDescent="0.75">
      <c r="A36" s="2">
        <v>45862.934224537035</v>
      </c>
      <c r="B36" s="1" t="s">
        <v>9</v>
      </c>
      <c r="C36" s="1">
        <v>1</v>
      </c>
      <c r="D36" s="1">
        <v>1</v>
      </c>
      <c r="E36" s="1" t="s">
        <v>13</v>
      </c>
      <c r="F36" s="1" t="s">
        <v>14</v>
      </c>
      <c r="G36" s="1" t="s">
        <v>17</v>
      </c>
      <c r="H36" s="1">
        <v>4</v>
      </c>
      <c r="I36" s="1">
        <v>3</v>
      </c>
    </row>
    <row r="37" spans="1:9" x14ac:dyDescent="0.75">
      <c r="A37" s="2">
        <v>45862.934340277781</v>
      </c>
      <c r="B37" s="1" t="s">
        <v>9</v>
      </c>
      <c r="C37" s="1">
        <v>3</v>
      </c>
      <c r="D37" s="1">
        <v>4</v>
      </c>
      <c r="E37" s="1" t="s">
        <v>10</v>
      </c>
      <c r="F37" s="1" t="s">
        <v>11</v>
      </c>
      <c r="G37" s="1" t="s">
        <v>12</v>
      </c>
      <c r="H37" s="1">
        <v>5</v>
      </c>
      <c r="I37" s="1">
        <v>4</v>
      </c>
    </row>
    <row r="38" spans="1:9" x14ac:dyDescent="0.75">
      <c r="A38" s="2">
        <v>45862.934502314813</v>
      </c>
      <c r="B38" s="1" t="s">
        <v>9</v>
      </c>
      <c r="C38" s="1">
        <v>4</v>
      </c>
      <c r="D38" s="1">
        <v>5</v>
      </c>
      <c r="E38" s="1" t="s">
        <v>15</v>
      </c>
      <c r="F38" s="1" t="s">
        <v>16</v>
      </c>
      <c r="G38" s="1" t="s">
        <v>18</v>
      </c>
      <c r="H38" s="1">
        <v>2</v>
      </c>
      <c r="I38" s="1">
        <v>3</v>
      </c>
    </row>
    <row r="39" spans="1:9" x14ac:dyDescent="0.75">
      <c r="A39" s="2">
        <v>45862.936782407407</v>
      </c>
      <c r="B39" s="1" t="s">
        <v>9</v>
      </c>
      <c r="C39" s="1">
        <v>1</v>
      </c>
      <c r="D39" s="1">
        <v>4</v>
      </c>
      <c r="E39" s="1" t="s">
        <v>13</v>
      </c>
      <c r="F39" s="1" t="s">
        <v>11</v>
      </c>
      <c r="G39" s="1" t="s">
        <v>12</v>
      </c>
      <c r="H39" s="1">
        <v>4</v>
      </c>
      <c r="I39" s="1">
        <v>4</v>
      </c>
    </row>
    <row r="40" spans="1:9" x14ac:dyDescent="0.75">
      <c r="A40" s="2">
        <v>45862.937106481484</v>
      </c>
      <c r="B40" s="1" t="s">
        <v>9</v>
      </c>
      <c r="C40" s="1">
        <v>3</v>
      </c>
      <c r="D40" s="1">
        <v>4</v>
      </c>
      <c r="E40" s="1" t="s">
        <v>13</v>
      </c>
      <c r="F40" s="1" t="s">
        <v>11</v>
      </c>
      <c r="G40" s="1" t="s">
        <v>12</v>
      </c>
      <c r="H40" s="1">
        <v>3</v>
      </c>
      <c r="I40" s="1">
        <v>4</v>
      </c>
    </row>
    <row r="41" spans="1:9" x14ac:dyDescent="0.75">
      <c r="A41" s="2">
        <v>45862.937835648147</v>
      </c>
      <c r="B41" s="1" t="s">
        <v>9</v>
      </c>
      <c r="C41" s="1">
        <v>3</v>
      </c>
      <c r="D41" s="1">
        <v>2</v>
      </c>
      <c r="E41" s="1" t="s">
        <v>13</v>
      </c>
      <c r="F41" s="1" t="s">
        <v>14</v>
      </c>
      <c r="G41" s="1" t="s">
        <v>12</v>
      </c>
      <c r="H41" s="1">
        <v>3</v>
      </c>
      <c r="I41" s="1">
        <v>4</v>
      </c>
    </row>
    <row r="42" spans="1:9" x14ac:dyDescent="0.75">
      <c r="A42" s="2">
        <v>45862.939143518517</v>
      </c>
      <c r="B42" s="1" t="s">
        <v>9</v>
      </c>
      <c r="C42" s="1">
        <v>3</v>
      </c>
      <c r="D42" s="1">
        <v>4</v>
      </c>
      <c r="E42" s="1" t="s">
        <v>15</v>
      </c>
      <c r="F42" s="1" t="s">
        <v>11</v>
      </c>
      <c r="G42" s="1" t="s">
        <v>12</v>
      </c>
      <c r="H42" s="1">
        <v>5</v>
      </c>
      <c r="I42" s="1">
        <v>5</v>
      </c>
    </row>
    <row r="43" spans="1:9" x14ac:dyDescent="0.75">
      <c r="A43" s="2">
        <v>45862.939305555556</v>
      </c>
      <c r="B43" s="1" t="s">
        <v>20</v>
      </c>
      <c r="C43" s="1">
        <v>3</v>
      </c>
      <c r="D43" s="1">
        <v>5</v>
      </c>
      <c r="E43" s="1" t="s">
        <v>13</v>
      </c>
      <c r="F43" s="1" t="s">
        <v>11</v>
      </c>
      <c r="G43" s="1" t="s">
        <v>12</v>
      </c>
      <c r="H43" s="1">
        <v>3</v>
      </c>
      <c r="I43" s="1">
        <v>3</v>
      </c>
    </row>
    <row r="44" spans="1:9" x14ac:dyDescent="0.75">
      <c r="A44" s="2">
        <v>45862.939317129632</v>
      </c>
      <c r="B44" s="1" t="s">
        <v>9</v>
      </c>
      <c r="C44" s="1">
        <v>3</v>
      </c>
      <c r="D44" s="1">
        <v>5</v>
      </c>
      <c r="E44" s="1" t="s">
        <v>13</v>
      </c>
      <c r="F44" s="1" t="s">
        <v>11</v>
      </c>
      <c r="G44" s="1" t="s">
        <v>12</v>
      </c>
      <c r="H44" s="1">
        <v>4</v>
      </c>
      <c r="I44" s="1">
        <v>5</v>
      </c>
    </row>
    <row r="45" spans="1:9" x14ac:dyDescent="0.75">
      <c r="A45" s="2">
        <v>45862.940138888887</v>
      </c>
      <c r="B45" s="1" t="s">
        <v>9</v>
      </c>
      <c r="C45" s="1">
        <v>5</v>
      </c>
      <c r="D45" s="1">
        <v>4</v>
      </c>
      <c r="E45" s="1" t="s">
        <v>15</v>
      </c>
      <c r="F45" s="1" t="s">
        <v>16</v>
      </c>
      <c r="G45" s="1" t="s">
        <v>12</v>
      </c>
      <c r="H45" s="1">
        <v>5</v>
      </c>
      <c r="I45" s="1">
        <v>5</v>
      </c>
    </row>
    <row r="46" spans="1:9" x14ac:dyDescent="0.75">
      <c r="A46" s="2">
        <v>45862.940671296295</v>
      </c>
      <c r="B46" s="1" t="s">
        <v>9</v>
      </c>
      <c r="C46" s="1">
        <v>4</v>
      </c>
      <c r="D46" s="1">
        <v>2</v>
      </c>
      <c r="E46" s="1" t="s">
        <v>10</v>
      </c>
      <c r="F46" s="1" t="s">
        <v>11</v>
      </c>
      <c r="G46" s="1" t="s">
        <v>12</v>
      </c>
      <c r="H46" s="1">
        <v>2</v>
      </c>
      <c r="I46" s="1">
        <v>2</v>
      </c>
    </row>
    <row r="47" spans="1:9" x14ac:dyDescent="0.75">
      <c r="A47" s="2">
        <v>45862.940752314818</v>
      </c>
      <c r="B47" s="1" t="s">
        <v>9</v>
      </c>
      <c r="C47" s="1">
        <v>3</v>
      </c>
      <c r="D47" s="1">
        <v>2</v>
      </c>
      <c r="E47" s="1" t="s">
        <v>13</v>
      </c>
      <c r="F47" s="1" t="s">
        <v>11</v>
      </c>
      <c r="G47" s="1" t="s">
        <v>12</v>
      </c>
      <c r="H47" s="1">
        <v>4</v>
      </c>
      <c r="I47" s="1">
        <v>3</v>
      </c>
    </row>
    <row r="48" spans="1:9" x14ac:dyDescent="0.75">
      <c r="A48" s="2">
        <v>45862.940891203703</v>
      </c>
      <c r="B48" s="1" t="s">
        <v>9</v>
      </c>
      <c r="C48" s="1">
        <v>5</v>
      </c>
      <c r="D48" s="1">
        <v>5</v>
      </c>
      <c r="E48" s="1" t="s">
        <v>10</v>
      </c>
      <c r="F48" s="1" t="s">
        <v>16</v>
      </c>
      <c r="G48" s="1" t="s">
        <v>17</v>
      </c>
      <c r="H48" s="1">
        <v>4</v>
      </c>
      <c r="I48" s="1">
        <v>5</v>
      </c>
    </row>
    <row r="49" spans="1:9" x14ac:dyDescent="0.75">
      <c r="A49" s="2">
        <v>45862.943599537037</v>
      </c>
      <c r="B49" s="1" t="s">
        <v>9</v>
      </c>
      <c r="C49" s="1">
        <v>2</v>
      </c>
      <c r="D49" s="1">
        <v>4</v>
      </c>
      <c r="E49" s="1" t="s">
        <v>13</v>
      </c>
      <c r="F49" s="1" t="s">
        <v>11</v>
      </c>
      <c r="G49" s="1" t="s">
        <v>12</v>
      </c>
      <c r="H49" s="1">
        <v>4</v>
      </c>
      <c r="I49" s="1">
        <v>4</v>
      </c>
    </row>
    <row r="50" spans="1:9" x14ac:dyDescent="0.75">
      <c r="A50" s="2">
        <v>45862.944166666668</v>
      </c>
      <c r="B50" s="1" t="s">
        <v>9</v>
      </c>
      <c r="C50" s="1">
        <v>3</v>
      </c>
      <c r="D50" s="1">
        <v>4</v>
      </c>
      <c r="E50" s="1" t="s">
        <v>10</v>
      </c>
      <c r="F50" s="1" t="s">
        <v>16</v>
      </c>
      <c r="G50" s="1" t="s">
        <v>18</v>
      </c>
      <c r="H50" s="1">
        <v>4</v>
      </c>
      <c r="I50" s="1">
        <v>5</v>
      </c>
    </row>
    <row r="51" spans="1:9" x14ac:dyDescent="0.75">
      <c r="A51" s="2">
        <v>45862.945613425924</v>
      </c>
      <c r="B51" s="1" t="s">
        <v>9</v>
      </c>
      <c r="C51" s="1">
        <v>2</v>
      </c>
      <c r="D51" s="1">
        <v>3</v>
      </c>
      <c r="E51" s="1" t="s">
        <v>15</v>
      </c>
      <c r="F51" s="1" t="s">
        <v>14</v>
      </c>
      <c r="G51" s="1" t="s">
        <v>12</v>
      </c>
      <c r="H51" s="1">
        <v>2</v>
      </c>
      <c r="I51" s="1">
        <v>3</v>
      </c>
    </row>
    <row r="52" spans="1:9" x14ac:dyDescent="0.75">
      <c r="A52" s="2">
        <v>45862.945960648147</v>
      </c>
      <c r="B52" s="1" t="s">
        <v>9</v>
      </c>
      <c r="C52" s="1">
        <v>3</v>
      </c>
      <c r="D52" s="1">
        <v>3</v>
      </c>
      <c r="E52" s="1" t="s">
        <v>13</v>
      </c>
      <c r="F52" s="1" t="s">
        <v>11</v>
      </c>
      <c r="G52" s="1" t="s">
        <v>12</v>
      </c>
      <c r="H52" s="1">
        <v>4</v>
      </c>
      <c r="I52" s="1">
        <v>3</v>
      </c>
    </row>
    <row r="53" spans="1:9" x14ac:dyDescent="0.75">
      <c r="A53" s="2">
        <v>45862.946122685185</v>
      </c>
      <c r="B53" s="1" t="s">
        <v>9</v>
      </c>
      <c r="C53" s="1">
        <v>4</v>
      </c>
      <c r="D53" s="1">
        <v>4</v>
      </c>
      <c r="E53" s="1" t="s">
        <v>10</v>
      </c>
      <c r="F53" s="1" t="s">
        <v>11</v>
      </c>
      <c r="G53" s="1" t="s">
        <v>12</v>
      </c>
      <c r="H53" s="1">
        <v>5</v>
      </c>
      <c r="I53" s="1">
        <v>4</v>
      </c>
    </row>
    <row r="54" spans="1:9" x14ac:dyDescent="0.75">
      <c r="A54" s="2">
        <v>45862.946388888886</v>
      </c>
      <c r="B54" s="1" t="s">
        <v>9</v>
      </c>
      <c r="C54" s="1">
        <v>4</v>
      </c>
      <c r="D54" s="1">
        <v>5</v>
      </c>
      <c r="E54" s="1" t="s">
        <v>13</v>
      </c>
      <c r="F54" s="1" t="s">
        <v>11</v>
      </c>
      <c r="G54" s="1" t="s">
        <v>12</v>
      </c>
      <c r="H54" s="1">
        <v>4</v>
      </c>
      <c r="I54" s="1">
        <v>4</v>
      </c>
    </row>
    <row r="55" spans="1:9" x14ac:dyDescent="0.75">
      <c r="A55" s="2">
        <v>45862.94730324074</v>
      </c>
      <c r="B55" s="1" t="s">
        <v>9</v>
      </c>
      <c r="C55" s="1">
        <v>3</v>
      </c>
      <c r="D55" s="1">
        <v>3</v>
      </c>
      <c r="E55" s="1" t="s">
        <v>15</v>
      </c>
      <c r="F55" s="1" t="s">
        <v>16</v>
      </c>
      <c r="G55" s="1" t="s">
        <v>18</v>
      </c>
      <c r="H55" s="1">
        <v>3</v>
      </c>
      <c r="I55" s="1">
        <v>3</v>
      </c>
    </row>
    <row r="56" spans="1:9" x14ac:dyDescent="0.75">
      <c r="A56" s="2">
        <v>45862.947800925926</v>
      </c>
      <c r="B56" s="1" t="s">
        <v>9</v>
      </c>
      <c r="C56" s="1">
        <v>3</v>
      </c>
      <c r="D56" s="1">
        <v>1</v>
      </c>
      <c r="E56" s="1" t="s">
        <v>10</v>
      </c>
      <c r="F56" s="1" t="s">
        <v>11</v>
      </c>
      <c r="G56" s="1" t="s">
        <v>18</v>
      </c>
      <c r="H56" s="1">
        <v>4</v>
      </c>
      <c r="I56" s="1">
        <v>4</v>
      </c>
    </row>
    <row r="57" spans="1:9" x14ac:dyDescent="0.75">
      <c r="A57" s="2">
        <v>45862.959050925929</v>
      </c>
      <c r="B57" s="1" t="s">
        <v>9</v>
      </c>
      <c r="C57" s="1">
        <v>3</v>
      </c>
      <c r="D57" s="1">
        <v>2</v>
      </c>
      <c r="E57" s="1" t="s">
        <v>13</v>
      </c>
      <c r="F57" s="1" t="s">
        <v>11</v>
      </c>
      <c r="G57" s="1" t="s">
        <v>12</v>
      </c>
      <c r="H57" s="1">
        <v>5</v>
      </c>
      <c r="I57" s="1">
        <v>4</v>
      </c>
    </row>
    <row r="58" spans="1:9" x14ac:dyDescent="0.75">
      <c r="A58" s="2">
        <v>45862.960289351853</v>
      </c>
      <c r="B58" s="1" t="s">
        <v>20</v>
      </c>
      <c r="C58" s="1">
        <v>4</v>
      </c>
      <c r="D58" s="1">
        <v>4</v>
      </c>
      <c r="E58" s="1" t="s">
        <v>15</v>
      </c>
      <c r="F58" s="1" t="s">
        <v>11</v>
      </c>
      <c r="G58" s="1" t="s">
        <v>17</v>
      </c>
      <c r="H58" s="1">
        <v>4</v>
      </c>
      <c r="I58" s="1">
        <v>4</v>
      </c>
    </row>
    <row r="59" spans="1:9" x14ac:dyDescent="0.75">
      <c r="A59" s="2">
        <v>45862.960532407407</v>
      </c>
      <c r="B59" s="1" t="s">
        <v>9</v>
      </c>
      <c r="C59" s="1">
        <v>3</v>
      </c>
      <c r="D59" s="1">
        <v>1</v>
      </c>
      <c r="E59" s="1" t="s">
        <v>10</v>
      </c>
      <c r="F59" s="1" t="s">
        <v>11</v>
      </c>
      <c r="G59" s="1" t="s">
        <v>12</v>
      </c>
      <c r="H59" s="1">
        <v>4</v>
      </c>
      <c r="I59" s="1">
        <v>3</v>
      </c>
    </row>
    <row r="60" spans="1:9" x14ac:dyDescent="0.75">
      <c r="A60" s="2">
        <v>45862.961122685185</v>
      </c>
      <c r="B60" s="1" t="s">
        <v>9</v>
      </c>
      <c r="C60" s="1">
        <v>2</v>
      </c>
      <c r="D60" s="1">
        <v>3</v>
      </c>
      <c r="E60" s="1" t="s">
        <v>15</v>
      </c>
      <c r="F60" s="1" t="s">
        <v>11</v>
      </c>
      <c r="G60" s="1" t="s">
        <v>12</v>
      </c>
      <c r="H60" s="1">
        <v>3</v>
      </c>
      <c r="I60" s="1">
        <v>5</v>
      </c>
    </row>
    <row r="61" spans="1:9" x14ac:dyDescent="0.75">
      <c r="A61" s="2">
        <v>45862.969305555554</v>
      </c>
      <c r="B61" s="1" t="s">
        <v>9</v>
      </c>
      <c r="C61" s="1">
        <v>3</v>
      </c>
      <c r="D61" s="1">
        <v>1</v>
      </c>
      <c r="E61" s="1" t="s">
        <v>10</v>
      </c>
      <c r="F61" s="1" t="s">
        <v>11</v>
      </c>
      <c r="G61" s="1" t="s">
        <v>12</v>
      </c>
      <c r="H61" s="1">
        <v>5</v>
      </c>
      <c r="I61" s="1">
        <v>4</v>
      </c>
    </row>
    <row r="62" spans="1:9" x14ac:dyDescent="0.75">
      <c r="A62" s="2">
        <v>45862.973807870374</v>
      </c>
      <c r="B62" s="1" t="s">
        <v>9</v>
      </c>
      <c r="C62" s="1">
        <v>2</v>
      </c>
      <c r="D62" s="1">
        <v>1</v>
      </c>
      <c r="E62" s="1" t="s">
        <v>13</v>
      </c>
      <c r="F62" s="1" t="s">
        <v>16</v>
      </c>
      <c r="G62" s="1" t="s">
        <v>12</v>
      </c>
      <c r="H62" s="1">
        <v>3</v>
      </c>
      <c r="I62" s="1">
        <v>2</v>
      </c>
    </row>
    <row r="63" spans="1:9" x14ac:dyDescent="0.75">
      <c r="A63" s="2">
        <v>45862.979872685188</v>
      </c>
      <c r="B63" s="1" t="s">
        <v>9</v>
      </c>
      <c r="C63" s="1">
        <v>2</v>
      </c>
      <c r="D63" s="1">
        <v>3</v>
      </c>
      <c r="E63" s="1" t="s">
        <v>13</v>
      </c>
      <c r="F63" s="1" t="s">
        <v>11</v>
      </c>
      <c r="G63" s="1" t="s">
        <v>12</v>
      </c>
      <c r="H63" s="1">
        <v>4</v>
      </c>
      <c r="I63" s="1">
        <v>4</v>
      </c>
    </row>
    <row r="64" spans="1:9" x14ac:dyDescent="0.75">
      <c r="A64" s="2">
        <v>45862.980856481481</v>
      </c>
      <c r="B64" s="1" t="s">
        <v>9</v>
      </c>
      <c r="C64" s="1">
        <v>4</v>
      </c>
      <c r="D64" s="1">
        <v>4</v>
      </c>
      <c r="E64" s="1" t="s">
        <v>15</v>
      </c>
      <c r="F64" s="1" t="s">
        <v>16</v>
      </c>
      <c r="G64" s="1" t="s">
        <v>12</v>
      </c>
      <c r="H64" s="1">
        <v>4</v>
      </c>
      <c r="I64" s="1">
        <v>4</v>
      </c>
    </row>
    <row r="65" spans="1:9" x14ac:dyDescent="0.75">
      <c r="A65" s="2">
        <v>45862.983587962961</v>
      </c>
      <c r="B65" s="1" t="s">
        <v>9</v>
      </c>
      <c r="C65" s="1">
        <v>3</v>
      </c>
      <c r="D65" s="1">
        <v>3</v>
      </c>
      <c r="E65" s="1" t="s">
        <v>15</v>
      </c>
      <c r="F65" s="1" t="s">
        <v>11</v>
      </c>
      <c r="G65" s="1" t="s">
        <v>12</v>
      </c>
      <c r="H65" s="1">
        <v>3</v>
      </c>
      <c r="I65" s="1">
        <v>3</v>
      </c>
    </row>
    <row r="66" spans="1:9" x14ac:dyDescent="0.75">
      <c r="A66" s="2">
        <v>45862.989293981482</v>
      </c>
      <c r="B66" s="1" t="s">
        <v>9</v>
      </c>
      <c r="C66" s="1">
        <v>3</v>
      </c>
      <c r="D66" s="1">
        <v>2</v>
      </c>
      <c r="E66" s="1" t="s">
        <v>13</v>
      </c>
      <c r="F66" s="1" t="s">
        <v>16</v>
      </c>
      <c r="G66" s="1" t="s">
        <v>12</v>
      </c>
      <c r="H66" s="1">
        <v>2</v>
      </c>
      <c r="I66" s="1">
        <v>2</v>
      </c>
    </row>
    <row r="67" spans="1:9" x14ac:dyDescent="0.75">
      <c r="A67" s="2">
        <v>45863.007060185184</v>
      </c>
      <c r="B67" s="1" t="s">
        <v>9</v>
      </c>
      <c r="C67" s="1">
        <v>4</v>
      </c>
      <c r="D67" s="1">
        <v>5</v>
      </c>
      <c r="E67" s="1" t="s">
        <v>15</v>
      </c>
      <c r="F67" s="1" t="s">
        <v>16</v>
      </c>
      <c r="G67" s="1" t="s">
        <v>12</v>
      </c>
      <c r="H67" s="1">
        <v>2</v>
      </c>
      <c r="I67" s="1">
        <v>5</v>
      </c>
    </row>
    <row r="68" spans="1:9" x14ac:dyDescent="0.75">
      <c r="A68" s="2">
        <v>45863.009560185186</v>
      </c>
      <c r="B68" s="1" t="s">
        <v>9</v>
      </c>
      <c r="C68" s="1">
        <v>4</v>
      </c>
      <c r="D68" s="1">
        <v>3</v>
      </c>
      <c r="E68" s="1" t="s">
        <v>13</v>
      </c>
      <c r="F68" s="1" t="s">
        <v>11</v>
      </c>
      <c r="G68" s="1" t="s">
        <v>12</v>
      </c>
      <c r="H68" s="1">
        <v>4</v>
      </c>
      <c r="I68" s="1">
        <v>5</v>
      </c>
    </row>
    <row r="69" spans="1:9" x14ac:dyDescent="0.75">
      <c r="A69" s="2">
        <v>45863.014930555553</v>
      </c>
      <c r="B69" s="1" t="s">
        <v>9</v>
      </c>
      <c r="C69" s="1">
        <v>3</v>
      </c>
      <c r="D69" s="1">
        <v>5</v>
      </c>
      <c r="E69" s="1" t="s">
        <v>15</v>
      </c>
      <c r="F69" s="1" t="s">
        <v>16</v>
      </c>
      <c r="G69" s="1" t="s">
        <v>12</v>
      </c>
      <c r="H69" s="1">
        <v>3</v>
      </c>
      <c r="I69" s="1">
        <v>4</v>
      </c>
    </row>
    <row r="70" spans="1:9" x14ac:dyDescent="0.75">
      <c r="A70" s="2">
        <v>45863.015023148146</v>
      </c>
      <c r="B70" s="1" t="s">
        <v>9</v>
      </c>
      <c r="C70" s="1">
        <v>4</v>
      </c>
      <c r="D70" s="1">
        <v>2</v>
      </c>
      <c r="E70" s="1" t="s">
        <v>15</v>
      </c>
      <c r="F70" s="1" t="s">
        <v>11</v>
      </c>
      <c r="G70" s="1" t="s">
        <v>12</v>
      </c>
      <c r="H70" s="1">
        <v>1</v>
      </c>
      <c r="I70" s="1">
        <v>1</v>
      </c>
    </row>
    <row r="71" spans="1:9" x14ac:dyDescent="0.75">
      <c r="A71" s="2">
        <v>45863.342372685183</v>
      </c>
      <c r="B71" s="1" t="s">
        <v>9</v>
      </c>
      <c r="C71" s="1">
        <v>3</v>
      </c>
      <c r="D71" s="1">
        <v>3</v>
      </c>
      <c r="E71" s="1" t="s">
        <v>15</v>
      </c>
      <c r="F71" s="1" t="s">
        <v>11</v>
      </c>
      <c r="G71" s="1" t="s">
        <v>12</v>
      </c>
      <c r="H71" s="1">
        <v>3</v>
      </c>
      <c r="I71" s="1">
        <v>4</v>
      </c>
    </row>
    <row r="72" spans="1:9" x14ac:dyDescent="0.75">
      <c r="A72" s="2">
        <v>45863.362754629627</v>
      </c>
      <c r="B72" s="1" t="s">
        <v>9</v>
      </c>
      <c r="C72" s="1">
        <v>4</v>
      </c>
      <c r="D72" s="1">
        <v>3</v>
      </c>
      <c r="E72" s="1" t="s">
        <v>15</v>
      </c>
      <c r="F72" s="1" t="s">
        <v>11</v>
      </c>
      <c r="G72" s="1" t="s">
        <v>12</v>
      </c>
      <c r="H72" s="1">
        <v>4</v>
      </c>
      <c r="I72" s="1">
        <v>4</v>
      </c>
    </row>
    <row r="73" spans="1:9" x14ac:dyDescent="0.75">
      <c r="A73" s="2">
        <v>45863.437638888892</v>
      </c>
      <c r="B73" s="1" t="s">
        <v>9</v>
      </c>
      <c r="C73" s="1">
        <v>3</v>
      </c>
      <c r="D73" s="1">
        <v>3</v>
      </c>
      <c r="E73" s="1" t="s">
        <v>15</v>
      </c>
      <c r="F73" s="1" t="s">
        <v>11</v>
      </c>
      <c r="G73" s="1" t="s">
        <v>12</v>
      </c>
      <c r="H73" s="1">
        <v>4</v>
      </c>
      <c r="I73" s="1">
        <v>4</v>
      </c>
    </row>
    <row r="74" spans="1:9" x14ac:dyDescent="0.75">
      <c r="A74" s="2">
        <v>45863.442812499998</v>
      </c>
      <c r="B74" s="1" t="s">
        <v>9</v>
      </c>
      <c r="C74" s="1">
        <v>1</v>
      </c>
      <c r="D74" s="1">
        <v>1</v>
      </c>
      <c r="E74" s="1" t="s">
        <v>10</v>
      </c>
      <c r="F74" s="1" t="s">
        <v>11</v>
      </c>
      <c r="G74" s="1" t="s">
        <v>12</v>
      </c>
      <c r="H74" s="1">
        <v>1</v>
      </c>
      <c r="I74" s="1">
        <v>1</v>
      </c>
    </row>
    <row r="75" spans="1:9" x14ac:dyDescent="0.75">
      <c r="A75" s="2">
        <v>45863.446805555555</v>
      </c>
      <c r="B75" s="1" t="s">
        <v>9</v>
      </c>
      <c r="C75" s="1">
        <v>3</v>
      </c>
      <c r="D75" s="1">
        <v>3</v>
      </c>
      <c r="E75" s="1" t="s">
        <v>15</v>
      </c>
      <c r="F75" s="1" t="s">
        <v>11</v>
      </c>
      <c r="G75" s="1" t="s">
        <v>12</v>
      </c>
      <c r="H75" s="1">
        <v>4</v>
      </c>
      <c r="I75" s="1">
        <v>4</v>
      </c>
    </row>
    <row r="76" spans="1:9" x14ac:dyDescent="0.75">
      <c r="A76" s="2">
        <v>45863.458449074074</v>
      </c>
      <c r="B76" s="1" t="s">
        <v>9</v>
      </c>
      <c r="C76" s="1">
        <v>5</v>
      </c>
      <c r="D76" s="1">
        <v>5</v>
      </c>
      <c r="E76" s="1" t="s">
        <v>10</v>
      </c>
      <c r="F76" s="1" t="s">
        <v>16</v>
      </c>
      <c r="G76" s="1" t="s">
        <v>12</v>
      </c>
      <c r="H76" s="1">
        <v>3</v>
      </c>
      <c r="I76" s="1">
        <v>5</v>
      </c>
    </row>
    <row r="77" spans="1:9" x14ac:dyDescent="0.75">
      <c r="A77" s="2">
        <v>45863.462870370371</v>
      </c>
      <c r="B77" s="1" t="s">
        <v>9</v>
      </c>
      <c r="C77" s="1">
        <v>3</v>
      </c>
      <c r="D77" s="1">
        <v>3</v>
      </c>
      <c r="E77" s="1" t="s">
        <v>13</v>
      </c>
      <c r="F77" s="1" t="s">
        <v>11</v>
      </c>
      <c r="G77" s="1" t="s">
        <v>12</v>
      </c>
      <c r="H77" s="1">
        <v>3</v>
      </c>
      <c r="I77" s="1">
        <v>3</v>
      </c>
    </row>
    <row r="78" spans="1:9" x14ac:dyDescent="0.75">
      <c r="A78" s="2">
        <v>45863.462962962964</v>
      </c>
      <c r="B78" s="1" t="s">
        <v>9</v>
      </c>
      <c r="C78" s="1">
        <v>2</v>
      </c>
      <c r="D78" s="1">
        <v>3</v>
      </c>
      <c r="E78" s="1" t="s">
        <v>10</v>
      </c>
      <c r="F78" s="1" t="s">
        <v>14</v>
      </c>
      <c r="G78" s="1" t="s">
        <v>12</v>
      </c>
      <c r="H78" s="1">
        <v>2</v>
      </c>
      <c r="I78" s="1">
        <v>3</v>
      </c>
    </row>
    <row r="79" spans="1:9" x14ac:dyDescent="0.75">
      <c r="A79" s="2">
        <v>45863.491249999999</v>
      </c>
      <c r="B79" s="1" t="s">
        <v>9</v>
      </c>
      <c r="C79" s="1">
        <v>3</v>
      </c>
      <c r="D79" s="1">
        <v>4</v>
      </c>
      <c r="E79" s="1" t="s">
        <v>13</v>
      </c>
      <c r="F79" s="1" t="s">
        <v>11</v>
      </c>
      <c r="G79" s="1" t="s">
        <v>12</v>
      </c>
      <c r="H79" s="1">
        <v>3</v>
      </c>
      <c r="I79" s="1">
        <v>3</v>
      </c>
    </row>
    <row r="80" spans="1:9" x14ac:dyDescent="0.75">
      <c r="A80" s="2">
        <v>45863.553981481484</v>
      </c>
      <c r="B80" s="1" t="s">
        <v>20</v>
      </c>
      <c r="C80" s="1">
        <v>3</v>
      </c>
      <c r="D80" s="1">
        <v>2</v>
      </c>
      <c r="E80" s="1" t="s">
        <v>13</v>
      </c>
      <c r="F80" s="1" t="s">
        <v>11</v>
      </c>
      <c r="G80" s="1" t="s">
        <v>12</v>
      </c>
      <c r="H80" s="1">
        <v>5</v>
      </c>
      <c r="I80" s="1">
        <v>4</v>
      </c>
    </row>
    <row r="81" spans="1:9" x14ac:dyDescent="0.75">
      <c r="A81" s="2">
        <v>45863.554710648146</v>
      </c>
      <c r="B81" s="1" t="s">
        <v>9</v>
      </c>
      <c r="C81" s="1">
        <v>3</v>
      </c>
      <c r="D81" s="1">
        <v>3</v>
      </c>
      <c r="E81" s="1" t="s">
        <v>13</v>
      </c>
      <c r="F81" s="1" t="s">
        <v>11</v>
      </c>
      <c r="G81" s="1" t="s">
        <v>17</v>
      </c>
      <c r="H81" s="1">
        <v>3</v>
      </c>
      <c r="I81" s="1">
        <v>5</v>
      </c>
    </row>
    <row r="82" spans="1:9" x14ac:dyDescent="0.75">
      <c r="A82" s="2">
        <v>45863.568171296298</v>
      </c>
      <c r="B82" s="1" t="s">
        <v>9</v>
      </c>
      <c r="C82" s="1">
        <v>2</v>
      </c>
      <c r="D82" s="1">
        <v>2</v>
      </c>
      <c r="E82" s="1" t="s">
        <v>13</v>
      </c>
      <c r="F82" s="1" t="s">
        <v>11</v>
      </c>
      <c r="G82" s="1" t="s">
        <v>12</v>
      </c>
      <c r="H82" s="1">
        <v>1</v>
      </c>
      <c r="I82" s="1">
        <v>1</v>
      </c>
    </row>
    <row r="83" spans="1:9" x14ac:dyDescent="0.75">
      <c r="A83" s="2">
        <v>45863.667037037034</v>
      </c>
      <c r="B83" s="1" t="s">
        <v>9</v>
      </c>
      <c r="C83" s="1">
        <v>5</v>
      </c>
      <c r="D83" s="1">
        <v>3</v>
      </c>
      <c r="E83" s="1" t="s">
        <v>13</v>
      </c>
      <c r="F83" s="1" t="s">
        <v>16</v>
      </c>
      <c r="G83" s="1" t="s">
        <v>12</v>
      </c>
      <c r="H83" s="1">
        <v>4</v>
      </c>
      <c r="I83" s="1">
        <v>5</v>
      </c>
    </row>
    <row r="84" spans="1:9" x14ac:dyDescent="0.75">
      <c r="A84" s="2">
        <v>45863.66988425926</v>
      </c>
      <c r="B84" s="1" t="s">
        <v>9</v>
      </c>
      <c r="C84" s="1">
        <v>3</v>
      </c>
      <c r="D84" s="1">
        <v>2</v>
      </c>
      <c r="E84" s="1" t="s">
        <v>13</v>
      </c>
      <c r="F84" s="1" t="s">
        <v>11</v>
      </c>
      <c r="G84" s="1" t="s">
        <v>12</v>
      </c>
      <c r="H84" s="1">
        <v>3</v>
      </c>
      <c r="I84" s="1">
        <v>4</v>
      </c>
    </row>
    <row r="85" spans="1:9" x14ac:dyDescent="0.75">
      <c r="A85" s="2">
        <v>45863.688715277778</v>
      </c>
      <c r="B85" s="1" t="s">
        <v>20</v>
      </c>
      <c r="C85" s="1">
        <v>1</v>
      </c>
      <c r="D85" s="1">
        <v>5</v>
      </c>
      <c r="E85" s="1" t="s">
        <v>13</v>
      </c>
      <c r="F85" s="1" t="s">
        <v>11</v>
      </c>
      <c r="G85" s="1" t="s">
        <v>12</v>
      </c>
      <c r="H85" s="1">
        <v>5</v>
      </c>
      <c r="I85" s="1">
        <v>3</v>
      </c>
    </row>
    <row r="86" spans="1:9" x14ac:dyDescent="0.75">
      <c r="A86" s="2">
        <v>45863.713888888888</v>
      </c>
      <c r="B86" s="1" t="s">
        <v>9</v>
      </c>
      <c r="C86" s="1">
        <v>2</v>
      </c>
      <c r="D86" s="1">
        <v>2</v>
      </c>
      <c r="E86" s="1" t="s">
        <v>15</v>
      </c>
      <c r="F86" s="1" t="s">
        <v>14</v>
      </c>
      <c r="G86" s="1" t="s">
        <v>12</v>
      </c>
      <c r="H86" s="1">
        <v>5</v>
      </c>
      <c r="I86" s="1">
        <v>4</v>
      </c>
    </row>
    <row r="87" spans="1:9" x14ac:dyDescent="0.75">
      <c r="A87" s="2">
        <v>45863.743946759256</v>
      </c>
      <c r="B87" s="1" t="s">
        <v>20</v>
      </c>
      <c r="C87" s="1">
        <v>4</v>
      </c>
      <c r="D87" s="1">
        <v>4</v>
      </c>
      <c r="E87" s="1" t="s">
        <v>10</v>
      </c>
      <c r="F87" s="1" t="s">
        <v>11</v>
      </c>
      <c r="G87" s="1" t="s">
        <v>12</v>
      </c>
      <c r="H87" s="1">
        <v>4</v>
      </c>
      <c r="I87" s="1">
        <v>3</v>
      </c>
    </row>
    <row r="88" spans="1:9" x14ac:dyDescent="0.75">
      <c r="A88" s="2">
        <v>45863.762939814813</v>
      </c>
      <c r="B88" s="1" t="s">
        <v>9</v>
      </c>
      <c r="C88" s="1">
        <v>2</v>
      </c>
      <c r="D88" s="1">
        <v>3</v>
      </c>
      <c r="E88" s="1" t="s">
        <v>13</v>
      </c>
      <c r="F88" s="1" t="s">
        <v>14</v>
      </c>
      <c r="G88" s="1" t="s">
        <v>12</v>
      </c>
      <c r="H88" s="1">
        <v>3</v>
      </c>
      <c r="I88" s="1">
        <v>3</v>
      </c>
    </row>
    <row r="89" spans="1:9" x14ac:dyDescent="0.75">
      <c r="A89" s="2">
        <v>45863.76902777778</v>
      </c>
      <c r="B89" s="1" t="s">
        <v>9</v>
      </c>
      <c r="C89" s="1">
        <v>2</v>
      </c>
      <c r="D89" s="1">
        <v>3</v>
      </c>
      <c r="E89" s="1" t="s">
        <v>13</v>
      </c>
      <c r="F89" s="1" t="s">
        <v>11</v>
      </c>
      <c r="G89" s="1" t="s">
        <v>17</v>
      </c>
      <c r="H89" s="1">
        <v>3</v>
      </c>
      <c r="I89" s="1">
        <v>3</v>
      </c>
    </row>
    <row r="90" spans="1:9" x14ac:dyDescent="0.75">
      <c r="A90" s="2">
        <v>45863.815960648149</v>
      </c>
      <c r="B90" s="1" t="s">
        <v>9</v>
      </c>
      <c r="C90" s="1">
        <v>2</v>
      </c>
      <c r="D90" s="1">
        <v>5</v>
      </c>
      <c r="E90" s="1" t="s">
        <v>13</v>
      </c>
      <c r="F90" s="1" t="s">
        <v>14</v>
      </c>
      <c r="G90" s="1" t="s">
        <v>12</v>
      </c>
      <c r="H90" s="1">
        <v>4</v>
      </c>
      <c r="I90" s="1">
        <v>5</v>
      </c>
    </row>
    <row r="91" spans="1:9" x14ac:dyDescent="0.75">
      <c r="A91" s="2">
        <v>45863.859629629631</v>
      </c>
      <c r="B91" s="1" t="s">
        <v>20</v>
      </c>
      <c r="C91" s="1">
        <v>2</v>
      </c>
      <c r="D91" s="1">
        <v>2</v>
      </c>
      <c r="E91" s="1" t="s">
        <v>10</v>
      </c>
      <c r="F91" s="1" t="s">
        <v>11</v>
      </c>
      <c r="G91" s="1" t="s">
        <v>12</v>
      </c>
      <c r="H91" s="1">
        <v>4</v>
      </c>
      <c r="I91" s="1">
        <v>4</v>
      </c>
    </row>
    <row r="92" spans="1:9" x14ac:dyDescent="0.75">
      <c r="A92" s="2">
        <v>45863.982152777775</v>
      </c>
      <c r="B92" s="1" t="s">
        <v>9</v>
      </c>
      <c r="C92" s="1">
        <v>3</v>
      </c>
      <c r="D92" s="1">
        <v>3</v>
      </c>
      <c r="E92" s="1" t="s">
        <v>13</v>
      </c>
      <c r="F92" s="1" t="s">
        <v>11</v>
      </c>
      <c r="G92" s="1" t="s">
        <v>18</v>
      </c>
      <c r="H92" s="1">
        <v>4</v>
      </c>
      <c r="I92" s="1">
        <v>4</v>
      </c>
    </row>
    <row r="93" spans="1:9" x14ac:dyDescent="0.75">
      <c r="A93" s="2">
        <v>45863.985590277778</v>
      </c>
      <c r="B93" s="1" t="s">
        <v>9</v>
      </c>
      <c r="C93" s="1">
        <v>2</v>
      </c>
      <c r="D93" s="1">
        <v>2</v>
      </c>
      <c r="E93" s="1" t="s">
        <v>13</v>
      </c>
      <c r="F93" s="1" t="s">
        <v>11</v>
      </c>
      <c r="G93" s="1" t="s">
        <v>12</v>
      </c>
      <c r="H93" s="1">
        <v>4</v>
      </c>
      <c r="I93" s="1">
        <v>3</v>
      </c>
    </row>
    <row r="94" spans="1:9" x14ac:dyDescent="0.75">
      <c r="A94" s="2">
        <v>45864.309525462966</v>
      </c>
      <c r="B94" s="1" t="s">
        <v>19</v>
      </c>
      <c r="C94" s="1">
        <v>4</v>
      </c>
      <c r="D94" s="1">
        <v>5</v>
      </c>
      <c r="E94" s="1" t="s">
        <v>13</v>
      </c>
      <c r="F94" s="1" t="s">
        <v>11</v>
      </c>
      <c r="G94" s="1" t="s">
        <v>12</v>
      </c>
      <c r="H94" s="1">
        <v>4</v>
      </c>
      <c r="I94" s="1">
        <v>5</v>
      </c>
    </row>
    <row r="95" spans="1:9" x14ac:dyDescent="0.75">
      <c r="A95" s="2">
        <v>45864.314988425926</v>
      </c>
      <c r="B95" s="1" t="s">
        <v>19</v>
      </c>
      <c r="C95" s="1">
        <v>3</v>
      </c>
      <c r="D95" s="1">
        <v>3</v>
      </c>
      <c r="E95" s="1" t="s">
        <v>13</v>
      </c>
      <c r="F95" s="1" t="s">
        <v>11</v>
      </c>
      <c r="G95" s="1" t="s">
        <v>12</v>
      </c>
      <c r="H95" s="1">
        <v>4</v>
      </c>
      <c r="I95" s="1">
        <v>4</v>
      </c>
    </row>
    <row r="96" spans="1:9" x14ac:dyDescent="0.75">
      <c r="A96" s="2">
        <v>45864.315601851849</v>
      </c>
      <c r="B96" s="1" t="s">
        <v>19</v>
      </c>
      <c r="C96" s="1">
        <v>4</v>
      </c>
      <c r="D96" s="1">
        <v>5</v>
      </c>
      <c r="E96" s="1" t="s">
        <v>10</v>
      </c>
      <c r="F96" s="1" t="s">
        <v>16</v>
      </c>
      <c r="G96" s="1" t="s">
        <v>12</v>
      </c>
      <c r="H96" s="1">
        <v>5</v>
      </c>
      <c r="I96" s="1">
        <v>5</v>
      </c>
    </row>
    <row r="97" spans="1:9" x14ac:dyDescent="0.75">
      <c r="A97" s="2">
        <v>45864.326828703706</v>
      </c>
      <c r="B97" s="1" t="s">
        <v>19</v>
      </c>
      <c r="C97" s="1">
        <v>3</v>
      </c>
      <c r="D97" s="1">
        <v>3</v>
      </c>
      <c r="E97" s="1" t="s">
        <v>13</v>
      </c>
      <c r="F97" s="1" t="s">
        <v>11</v>
      </c>
      <c r="G97" s="1" t="s">
        <v>12</v>
      </c>
      <c r="H97" s="1">
        <v>3</v>
      </c>
      <c r="I97" s="1">
        <v>4</v>
      </c>
    </row>
    <row r="98" spans="1:9" x14ac:dyDescent="0.75">
      <c r="A98" s="2">
        <v>45864.342569444445</v>
      </c>
      <c r="B98" s="1" t="s">
        <v>19</v>
      </c>
      <c r="C98" s="1">
        <v>2</v>
      </c>
      <c r="D98" s="1">
        <v>3</v>
      </c>
      <c r="E98" s="1" t="s">
        <v>10</v>
      </c>
      <c r="F98" s="1" t="s">
        <v>16</v>
      </c>
      <c r="G98" s="1" t="s">
        <v>12</v>
      </c>
      <c r="H98" s="1">
        <v>3</v>
      </c>
      <c r="I98" s="1">
        <v>4</v>
      </c>
    </row>
    <row r="99" spans="1:9" x14ac:dyDescent="0.75">
      <c r="A99" s="2">
        <v>45864.350891203707</v>
      </c>
      <c r="B99" s="1" t="s">
        <v>19</v>
      </c>
      <c r="C99" s="1">
        <v>1</v>
      </c>
      <c r="D99" s="1">
        <v>2</v>
      </c>
      <c r="E99" s="1" t="s">
        <v>13</v>
      </c>
      <c r="F99" s="1" t="s">
        <v>11</v>
      </c>
      <c r="G99" s="1" t="s">
        <v>12</v>
      </c>
      <c r="H99" s="1">
        <v>5</v>
      </c>
      <c r="I99" s="1">
        <v>3</v>
      </c>
    </row>
    <row r="100" spans="1:9" x14ac:dyDescent="0.75">
      <c r="A100" s="2">
        <v>45864.350902777776</v>
      </c>
      <c r="B100" s="1" t="s">
        <v>19</v>
      </c>
      <c r="C100" s="1">
        <v>4</v>
      </c>
      <c r="D100" s="1">
        <v>4</v>
      </c>
      <c r="E100" s="1" t="s">
        <v>15</v>
      </c>
      <c r="F100" s="1" t="s">
        <v>16</v>
      </c>
      <c r="G100" s="1" t="s">
        <v>12</v>
      </c>
      <c r="H100" s="1">
        <v>2</v>
      </c>
      <c r="I100" s="1">
        <v>5</v>
      </c>
    </row>
    <row r="101" spans="1:9" x14ac:dyDescent="0.75">
      <c r="A101" s="2">
        <v>45864.352199074077</v>
      </c>
      <c r="B101" s="1" t="s">
        <v>19</v>
      </c>
      <c r="C101" s="1">
        <v>4</v>
      </c>
      <c r="D101" s="1">
        <v>3</v>
      </c>
      <c r="E101" s="1" t="s">
        <v>13</v>
      </c>
      <c r="F101" s="1" t="s">
        <v>11</v>
      </c>
      <c r="G101" s="1" t="s">
        <v>12</v>
      </c>
      <c r="H101" s="1">
        <v>4</v>
      </c>
      <c r="I101" s="1">
        <v>4</v>
      </c>
    </row>
    <row r="102" spans="1:9" x14ac:dyDescent="0.75">
      <c r="A102" s="2">
        <v>45864.361516203702</v>
      </c>
      <c r="B102" s="1" t="s">
        <v>19</v>
      </c>
      <c r="C102" s="1">
        <v>4</v>
      </c>
      <c r="D102" s="1">
        <v>5</v>
      </c>
      <c r="E102" s="1" t="s">
        <v>10</v>
      </c>
      <c r="F102" s="1" t="s">
        <v>16</v>
      </c>
      <c r="G102" s="1" t="s">
        <v>12</v>
      </c>
      <c r="H102" s="1">
        <v>3</v>
      </c>
      <c r="I102" s="1">
        <v>4</v>
      </c>
    </row>
    <row r="103" spans="1:9" x14ac:dyDescent="0.75">
      <c r="A103" s="2">
        <v>45864.373379629629</v>
      </c>
      <c r="B103" s="1" t="s">
        <v>19</v>
      </c>
      <c r="C103" s="1">
        <v>1</v>
      </c>
      <c r="D103" s="1">
        <v>5</v>
      </c>
      <c r="E103" s="1" t="s">
        <v>10</v>
      </c>
      <c r="F103" s="1" t="s">
        <v>11</v>
      </c>
      <c r="G103" s="1" t="s">
        <v>12</v>
      </c>
      <c r="H103" s="1">
        <v>5</v>
      </c>
      <c r="I103" s="1">
        <v>5</v>
      </c>
    </row>
    <row r="104" spans="1:9" x14ac:dyDescent="0.75">
      <c r="A104" s="2">
        <v>45864.394537037035</v>
      </c>
      <c r="B104" s="1" t="s">
        <v>19</v>
      </c>
      <c r="C104" s="1">
        <v>5</v>
      </c>
      <c r="D104" s="1">
        <v>5</v>
      </c>
      <c r="E104" s="1" t="s">
        <v>13</v>
      </c>
      <c r="F104" s="1" t="s">
        <v>16</v>
      </c>
      <c r="G104" s="1" t="s">
        <v>12</v>
      </c>
      <c r="H104" s="1">
        <v>3</v>
      </c>
      <c r="I104" s="1">
        <v>5</v>
      </c>
    </row>
    <row r="105" spans="1:9" x14ac:dyDescent="0.75">
      <c r="A105" s="2">
        <v>45864.400104166663</v>
      </c>
      <c r="B105" s="1" t="s">
        <v>19</v>
      </c>
      <c r="C105" s="1">
        <v>1</v>
      </c>
      <c r="D105" s="1">
        <v>3</v>
      </c>
      <c r="E105" s="1" t="s">
        <v>13</v>
      </c>
      <c r="F105" s="1" t="s">
        <v>14</v>
      </c>
      <c r="G105" s="1" t="s">
        <v>12</v>
      </c>
      <c r="H105" s="1">
        <v>3</v>
      </c>
      <c r="I105" s="1">
        <v>1</v>
      </c>
    </row>
    <row r="106" spans="1:9" x14ac:dyDescent="0.75">
      <c r="A106" s="2">
        <v>45864.407685185186</v>
      </c>
      <c r="B106" s="1" t="s">
        <v>19</v>
      </c>
      <c r="C106" s="1">
        <v>5</v>
      </c>
      <c r="D106" s="1">
        <v>3</v>
      </c>
      <c r="E106" s="1" t="s">
        <v>10</v>
      </c>
      <c r="F106" s="1" t="s">
        <v>16</v>
      </c>
      <c r="G106" s="1" t="s">
        <v>12</v>
      </c>
      <c r="H106" s="1">
        <v>4</v>
      </c>
      <c r="I106" s="1">
        <v>5</v>
      </c>
    </row>
    <row r="107" spans="1:9" x14ac:dyDescent="0.75">
      <c r="A107" s="2">
        <v>45864.414259259262</v>
      </c>
      <c r="B107" s="1" t="s">
        <v>19</v>
      </c>
      <c r="C107" s="1">
        <v>3</v>
      </c>
      <c r="D107" s="1">
        <v>3</v>
      </c>
      <c r="E107" s="1" t="s">
        <v>10</v>
      </c>
      <c r="F107" s="1" t="s">
        <v>11</v>
      </c>
      <c r="G107" s="1" t="s">
        <v>12</v>
      </c>
      <c r="H107" s="1">
        <v>4</v>
      </c>
      <c r="I107" s="1">
        <v>3</v>
      </c>
    </row>
    <row r="108" spans="1:9" x14ac:dyDescent="0.75">
      <c r="A108" s="2">
        <v>45864.417743055557</v>
      </c>
      <c r="B108" s="1" t="s">
        <v>19</v>
      </c>
      <c r="C108" s="1">
        <v>4</v>
      </c>
      <c r="D108" s="1">
        <v>4</v>
      </c>
      <c r="E108" s="1" t="s">
        <v>15</v>
      </c>
      <c r="F108" s="1" t="s">
        <v>16</v>
      </c>
      <c r="G108" s="1" t="s">
        <v>12</v>
      </c>
      <c r="H108" s="1">
        <v>4</v>
      </c>
      <c r="I108" s="1">
        <v>5</v>
      </c>
    </row>
    <row r="109" spans="1:9" x14ac:dyDescent="0.75">
      <c r="A109" s="2">
        <v>45864.419814814813</v>
      </c>
      <c r="B109" s="1" t="s">
        <v>19</v>
      </c>
      <c r="C109" s="1">
        <v>2</v>
      </c>
      <c r="D109" s="1">
        <v>3</v>
      </c>
      <c r="E109" s="1" t="s">
        <v>10</v>
      </c>
      <c r="F109" s="1" t="s">
        <v>14</v>
      </c>
      <c r="G109" s="1" t="s">
        <v>12</v>
      </c>
      <c r="H109" s="1">
        <v>3</v>
      </c>
      <c r="I109" s="1">
        <v>4</v>
      </c>
    </row>
    <row r="110" spans="1:9" x14ac:dyDescent="0.75">
      <c r="A110" s="2">
        <v>45864.443333333336</v>
      </c>
      <c r="B110" s="1" t="s">
        <v>19</v>
      </c>
      <c r="C110" s="1">
        <v>3</v>
      </c>
      <c r="D110" s="1">
        <v>3</v>
      </c>
      <c r="E110" s="1" t="s">
        <v>13</v>
      </c>
      <c r="F110" s="1" t="s">
        <v>11</v>
      </c>
      <c r="G110" s="1" t="s">
        <v>12</v>
      </c>
      <c r="H110" s="1">
        <v>3</v>
      </c>
      <c r="I110" s="1">
        <v>4</v>
      </c>
    </row>
    <row r="111" spans="1:9" x14ac:dyDescent="0.75">
      <c r="A111" s="2">
        <v>45864.444178240738</v>
      </c>
      <c r="B111" s="1" t="s">
        <v>19</v>
      </c>
      <c r="C111" s="1">
        <v>2</v>
      </c>
      <c r="D111" s="1">
        <v>4</v>
      </c>
      <c r="E111" s="1" t="s">
        <v>13</v>
      </c>
      <c r="F111" s="1" t="s">
        <v>16</v>
      </c>
      <c r="G111" s="1" t="s">
        <v>12</v>
      </c>
      <c r="H111" s="1">
        <v>3</v>
      </c>
      <c r="I111" s="1">
        <v>3</v>
      </c>
    </row>
    <row r="112" spans="1:9" x14ac:dyDescent="0.75">
      <c r="A112" s="2">
        <v>45864.483680555553</v>
      </c>
      <c r="B112" s="1" t="s">
        <v>19</v>
      </c>
      <c r="C112" s="1">
        <v>2</v>
      </c>
      <c r="D112" s="1">
        <v>4</v>
      </c>
      <c r="E112" s="1" t="s">
        <v>10</v>
      </c>
      <c r="F112" s="1" t="s">
        <v>11</v>
      </c>
      <c r="G112" s="1" t="s">
        <v>12</v>
      </c>
      <c r="H112" s="1">
        <v>4</v>
      </c>
      <c r="I112" s="1">
        <v>3</v>
      </c>
    </row>
    <row r="113" spans="1:9" x14ac:dyDescent="0.75">
      <c r="A113" s="2">
        <v>45864.568993055553</v>
      </c>
      <c r="B113" s="1" t="s">
        <v>9</v>
      </c>
      <c r="C113" s="1">
        <v>1</v>
      </c>
      <c r="D113" s="1">
        <v>1</v>
      </c>
      <c r="E113" s="1" t="s">
        <v>10</v>
      </c>
      <c r="F113" s="1" t="s">
        <v>11</v>
      </c>
      <c r="G113" s="1" t="s">
        <v>12</v>
      </c>
      <c r="H113" s="1">
        <v>3</v>
      </c>
      <c r="I113" s="1">
        <v>3</v>
      </c>
    </row>
    <row r="114" spans="1:9" x14ac:dyDescent="0.75">
      <c r="A114" s="2">
        <v>45864.598530092589</v>
      </c>
      <c r="B114" s="1" t="s">
        <v>19</v>
      </c>
      <c r="C114" s="1">
        <v>1</v>
      </c>
      <c r="D114" s="1">
        <v>3</v>
      </c>
      <c r="E114" s="1" t="s">
        <v>10</v>
      </c>
      <c r="F114" s="1" t="s">
        <v>11</v>
      </c>
      <c r="G114" s="1" t="s">
        <v>12</v>
      </c>
      <c r="H114" s="1">
        <v>5</v>
      </c>
      <c r="I114" s="1">
        <v>3</v>
      </c>
    </row>
    <row r="115" spans="1:9" x14ac:dyDescent="0.75">
      <c r="A115" s="2">
        <v>45864.599826388891</v>
      </c>
      <c r="B115" s="1" t="s">
        <v>19</v>
      </c>
      <c r="C115" s="1">
        <v>3</v>
      </c>
      <c r="D115" s="1">
        <v>4</v>
      </c>
      <c r="E115" s="1" t="s">
        <v>10</v>
      </c>
      <c r="F115" s="1" t="s">
        <v>16</v>
      </c>
      <c r="G115" s="1" t="s">
        <v>12</v>
      </c>
      <c r="H115" s="1">
        <v>3</v>
      </c>
      <c r="I115" s="1">
        <v>3</v>
      </c>
    </row>
    <row r="116" spans="1:9" x14ac:dyDescent="0.75">
      <c r="A116" s="2">
        <v>45864.781400462962</v>
      </c>
      <c r="B116" s="1" t="s">
        <v>19</v>
      </c>
      <c r="C116" s="1">
        <v>1</v>
      </c>
      <c r="D116" s="1">
        <v>1</v>
      </c>
      <c r="E116" s="1" t="s">
        <v>13</v>
      </c>
      <c r="F116" s="1" t="s">
        <v>16</v>
      </c>
      <c r="G116" s="1" t="s">
        <v>12</v>
      </c>
      <c r="H116" s="1">
        <v>1</v>
      </c>
      <c r="I116" s="1">
        <v>1</v>
      </c>
    </row>
    <row r="117" spans="1:9" x14ac:dyDescent="0.75">
      <c r="A117" s="2">
        <v>45864.901226851849</v>
      </c>
      <c r="B117" s="1" t="s">
        <v>19</v>
      </c>
      <c r="C117" s="1">
        <v>3</v>
      </c>
      <c r="D117" s="1">
        <v>4</v>
      </c>
      <c r="E117" s="1" t="s">
        <v>13</v>
      </c>
      <c r="F117" s="1" t="s">
        <v>14</v>
      </c>
      <c r="G117" s="1" t="s">
        <v>12</v>
      </c>
      <c r="H117" s="1">
        <v>2</v>
      </c>
      <c r="I117" s="1">
        <v>2</v>
      </c>
    </row>
    <row r="118" spans="1:9" x14ac:dyDescent="0.75">
      <c r="A118" s="2">
        <v>45864.924328703702</v>
      </c>
      <c r="B118" s="1" t="s">
        <v>19</v>
      </c>
      <c r="C118" s="1">
        <v>3</v>
      </c>
      <c r="D118" s="1">
        <v>1</v>
      </c>
      <c r="E118" s="1" t="s">
        <v>10</v>
      </c>
      <c r="F118" s="1" t="s">
        <v>11</v>
      </c>
      <c r="G118" s="1" t="s">
        <v>12</v>
      </c>
      <c r="H118" s="1">
        <v>4</v>
      </c>
      <c r="I118" s="1">
        <v>4</v>
      </c>
    </row>
    <row r="119" spans="1:9" x14ac:dyDescent="0.75">
      <c r="A119" s="2">
        <v>45865.572916666664</v>
      </c>
      <c r="B119" s="1" t="s">
        <v>9</v>
      </c>
      <c r="C119" s="1">
        <v>2</v>
      </c>
      <c r="D119" s="1">
        <v>3</v>
      </c>
      <c r="E119" s="1" t="s">
        <v>10</v>
      </c>
      <c r="F119" s="1" t="s">
        <v>11</v>
      </c>
      <c r="G119" s="1" t="s">
        <v>12</v>
      </c>
      <c r="H119" s="1">
        <v>3</v>
      </c>
      <c r="I119" s="1">
        <v>5</v>
      </c>
    </row>
    <row r="120" spans="1:9" x14ac:dyDescent="0.75">
      <c r="A120" s="2">
        <v>45865.956180555557</v>
      </c>
      <c r="B120" s="1" t="s">
        <v>19</v>
      </c>
      <c r="C120" s="1">
        <v>2</v>
      </c>
      <c r="D120" s="1">
        <v>2</v>
      </c>
      <c r="E120" s="1" t="s">
        <v>13</v>
      </c>
      <c r="F120" s="1" t="s">
        <v>11</v>
      </c>
      <c r="G120" s="1" t="s">
        <v>12</v>
      </c>
      <c r="H120" s="1">
        <v>4</v>
      </c>
      <c r="I120" s="1">
        <v>4</v>
      </c>
    </row>
    <row r="121" spans="1:9" x14ac:dyDescent="0.75">
      <c r="A121" s="2">
        <v>45868.280497685184</v>
      </c>
      <c r="B121" s="1" t="s">
        <v>19</v>
      </c>
      <c r="C121" s="1">
        <v>4</v>
      </c>
      <c r="D121" s="1">
        <v>5</v>
      </c>
      <c r="E121" s="1" t="s">
        <v>13</v>
      </c>
      <c r="F121" s="1" t="s">
        <v>11</v>
      </c>
      <c r="G121" s="1" t="s">
        <v>12</v>
      </c>
      <c r="H121" s="1">
        <v>3</v>
      </c>
      <c r="I121" s="1">
        <v>5</v>
      </c>
    </row>
    <row r="122" spans="1:9" x14ac:dyDescent="0.75">
      <c r="A122" s="2">
        <v>45868.668240740742</v>
      </c>
      <c r="B122" s="1" t="s">
        <v>9</v>
      </c>
      <c r="C122" s="1">
        <v>4</v>
      </c>
      <c r="D122" s="1">
        <v>4</v>
      </c>
      <c r="E122" s="1" t="s">
        <v>15</v>
      </c>
      <c r="F122" s="1" t="s">
        <v>11</v>
      </c>
      <c r="G122" s="1" t="s">
        <v>12</v>
      </c>
      <c r="H122" s="1">
        <v>4</v>
      </c>
      <c r="I122" s="1">
        <v>4</v>
      </c>
    </row>
    <row r="123" spans="1:9" x14ac:dyDescent="0.75">
      <c r="A123" s="2">
        <v>45880.510416666664</v>
      </c>
      <c r="B123" s="1" t="s">
        <v>20</v>
      </c>
      <c r="C123" s="1">
        <v>3</v>
      </c>
      <c r="D123" s="1">
        <v>4</v>
      </c>
      <c r="E123" s="1" t="s">
        <v>13</v>
      </c>
      <c r="F123" s="1" t="s">
        <v>14</v>
      </c>
      <c r="G123" s="1" t="s">
        <v>12</v>
      </c>
      <c r="H123" s="1">
        <v>1</v>
      </c>
      <c r="I123" s="1">
        <v>4</v>
      </c>
    </row>
    <row r="124" spans="1:9" x14ac:dyDescent="0.75">
      <c r="A124" s="2">
        <v>45880.755162037036</v>
      </c>
      <c r="B124" s="1" t="s">
        <v>9</v>
      </c>
      <c r="C124" s="1">
        <v>5</v>
      </c>
      <c r="D124" s="1">
        <v>1</v>
      </c>
      <c r="E124" s="1" t="s">
        <v>10</v>
      </c>
      <c r="F124" s="1" t="s">
        <v>11</v>
      </c>
      <c r="G124" s="1" t="s">
        <v>18</v>
      </c>
      <c r="H124" s="1">
        <v>5</v>
      </c>
      <c r="I124" s="1">
        <v>5</v>
      </c>
    </row>
    <row r="125" spans="1:9" x14ac:dyDescent="0.75">
      <c r="A125" s="2">
        <v>45880.811886574076</v>
      </c>
      <c r="B125" s="1" t="s">
        <v>20</v>
      </c>
      <c r="C125" s="1">
        <v>3</v>
      </c>
      <c r="D125" s="1">
        <v>3</v>
      </c>
      <c r="E125" s="1" t="s">
        <v>13</v>
      </c>
      <c r="F125" s="1" t="s">
        <v>11</v>
      </c>
      <c r="G125" s="1" t="s">
        <v>12</v>
      </c>
      <c r="H125" s="1">
        <v>3</v>
      </c>
      <c r="I125" s="1">
        <v>3</v>
      </c>
    </row>
    <row r="126" spans="1:9" x14ac:dyDescent="0.75">
      <c r="A126" s="2">
        <v>45881.103263888886</v>
      </c>
      <c r="B126" s="1" t="s">
        <v>20</v>
      </c>
      <c r="C126" s="1">
        <v>3</v>
      </c>
      <c r="D126" s="1">
        <v>4</v>
      </c>
      <c r="E126" s="1" t="s">
        <v>13</v>
      </c>
      <c r="F126" s="1" t="s">
        <v>14</v>
      </c>
      <c r="G126" s="1" t="s">
        <v>12</v>
      </c>
      <c r="H126" s="1">
        <v>2</v>
      </c>
      <c r="I126" s="1">
        <v>4</v>
      </c>
    </row>
    <row r="127" spans="1:9" x14ac:dyDescent="0.75">
      <c r="A127" s="2">
        <v>45881.341527777775</v>
      </c>
      <c r="B127" s="1" t="s">
        <v>20</v>
      </c>
      <c r="C127" s="1">
        <v>3</v>
      </c>
      <c r="D127" s="1">
        <v>1</v>
      </c>
      <c r="E127" s="1" t="s">
        <v>15</v>
      </c>
      <c r="F127" s="1" t="s">
        <v>14</v>
      </c>
      <c r="G127" s="1" t="s">
        <v>12</v>
      </c>
      <c r="H127" s="1">
        <v>4</v>
      </c>
      <c r="I127" s="1">
        <v>5</v>
      </c>
    </row>
    <row r="128" spans="1:9" x14ac:dyDescent="0.75">
      <c r="A128" s="2">
        <v>45881.367881944447</v>
      </c>
      <c r="B128" s="1" t="s">
        <v>19</v>
      </c>
      <c r="C128" s="1">
        <v>4</v>
      </c>
      <c r="D128" s="1">
        <v>5</v>
      </c>
      <c r="E128" s="1" t="s">
        <v>10</v>
      </c>
      <c r="F128" s="1" t="s">
        <v>16</v>
      </c>
      <c r="G128" s="1" t="s">
        <v>12</v>
      </c>
      <c r="H128" s="1">
        <v>3</v>
      </c>
      <c r="I128" s="1">
        <v>5</v>
      </c>
    </row>
    <row r="129" spans="1:9" x14ac:dyDescent="0.75">
      <c r="A129" s="2">
        <v>45881.372303240743</v>
      </c>
      <c r="B129" s="1" t="s">
        <v>9</v>
      </c>
      <c r="C129" s="1">
        <v>3</v>
      </c>
      <c r="D129" s="1">
        <v>5</v>
      </c>
      <c r="E129" s="1" t="s">
        <v>13</v>
      </c>
      <c r="F129" s="1" t="s">
        <v>11</v>
      </c>
      <c r="G129" s="1" t="s">
        <v>18</v>
      </c>
      <c r="H129" s="1">
        <v>4</v>
      </c>
      <c r="I129" s="1">
        <v>5</v>
      </c>
    </row>
    <row r="130" spans="1:9" x14ac:dyDescent="0.75">
      <c r="A130" s="2">
        <v>45881.419421296298</v>
      </c>
      <c r="B130" s="1" t="s">
        <v>9</v>
      </c>
      <c r="C130" s="1">
        <v>3</v>
      </c>
      <c r="D130" s="1">
        <v>4</v>
      </c>
      <c r="E130" s="1" t="s">
        <v>15</v>
      </c>
      <c r="F130" s="1" t="s">
        <v>14</v>
      </c>
      <c r="G130" s="1" t="s">
        <v>12</v>
      </c>
      <c r="H130" s="1">
        <v>2</v>
      </c>
      <c r="I130" s="1">
        <v>4</v>
      </c>
    </row>
    <row r="131" spans="1:9" x14ac:dyDescent="0.75">
      <c r="A131" s="2">
        <v>45881.509560185186</v>
      </c>
      <c r="B131" s="1" t="s">
        <v>9</v>
      </c>
      <c r="C131" s="1">
        <v>5</v>
      </c>
      <c r="D131" s="1">
        <v>5</v>
      </c>
      <c r="E131" s="1" t="s">
        <v>35</v>
      </c>
      <c r="F131" s="1" t="s">
        <v>16</v>
      </c>
      <c r="G131" s="1" t="s">
        <v>12</v>
      </c>
      <c r="H131" s="1">
        <v>5</v>
      </c>
      <c r="I131" s="1">
        <v>4</v>
      </c>
    </row>
    <row r="132" spans="1:9" x14ac:dyDescent="0.75">
      <c r="A132" s="2">
        <v>45881.553356481483</v>
      </c>
      <c r="B132" s="1" t="s">
        <v>9</v>
      </c>
      <c r="C132" s="1">
        <v>2</v>
      </c>
      <c r="D132" s="1">
        <v>2</v>
      </c>
      <c r="E132" s="1" t="s">
        <v>10</v>
      </c>
      <c r="F132" s="1" t="s">
        <v>11</v>
      </c>
      <c r="G132" s="1" t="s">
        <v>12</v>
      </c>
      <c r="H132" s="1">
        <v>4</v>
      </c>
      <c r="I132" s="1">
        <v>4</v>
      </c>
    </row>
    <row r="133" spans="1:9" x14ac:dyDescent="0.75">
      <c r="A133" s="2">
        <v>45881.625925925924</v>
      </c>
      <c r="B133" s="1" t="s">
        <v>19</v>
      </c>
      <c r="C133" s="1">
        <v>4</v>
      </c>
      <c r="D133" s="1">
        <v>4</v>
      </c>
      <c r="E133" s="1" t="s">
        <v>13</v>
      </c>
      <c r="F133" s="1" t="s">
        <v>11</v>
      </c>
      <c r="G133" s="1" t="s">
        <v>12</v>
      </c>
      <c r="H133" s="1">
        <v>3</v>
      </c>
      <c r="I133" s="1">
        <v>4</v>
      </c>
    </row>
    <row r="134" spans="1:9" x14ac:dyDescent="0.75">
      <c r="A134" s="2">
        <v>45882.906921296293</v>
      </c>
      <c r="B134" s="1" t="s">
        <v>9</v>
      </c>
      <c r="C134" s="1">
        <v>1</v>
      </c>
      <c r="D134" s="1">
        <v>1</v>
      </c>
      <c r="E134" s="1" t="s">
        <v>13</v>
      </c>
      <c r="F134" s="1" t="s">
        <v>11</v>
      </c>
      <c r="G134" s="1" t="s">
        <v>12</v>
      </c>
      <c r="H134" s="1">
        <v>2</v>
      </c>
      <c r="I134" s="1">
        <v>2</v>
      </c>
    </row>
    <row r="135" spans="1:9" x14ac:dyDescent="0.75">
      <c r="A135" s="2">
        <v>45883.256956018522</v>
      </c>
      <c r="B135" s="1" t="s">
        <v>20</v>
      </c>
      <c r="C135" s="1">
        <v>4</v>
      </c>
      <c r="D135" s="1">
        <v>3</v>
      </c>
      <c r="E135" s="1" t="s">
        <v>15</v>
      </c>
      <c r="F135" s="1" t="s">
        <v>16</v>
      </c>
      <c r="G135" s="1" t="s">
        <v>18</v>
      </c>
      <c r="H135" s="1">
        <v>2</v>
      </c>
      <c r="I135" s="1">
        <v>4</v>
      </c>
    </row>
    <row r="136" spans="1:9" x14ac:dyDescent="0.75">
      <c r="A136" s="2">
        <v>45883.879340277781</v>
      </c>
      <c r="B136" s="1" t="s">
        <v>9</v>
      </c>
      <c r="C136" s="1">
        <v>5</v>
      </c>
      <c r="D136" s="1">
        <v>3</v>
      </c>
      <c r="E136" s="1" t="s">
        <v>15</v>
      </c>
      <c r="F136" s="1" t="s">
        <v>11</v>
      </c>
      <c r="G136" s="1" t="s">
        <v>12</v>
      </c>
      <c r="H136" s="1">
        <v>2</v>
      </c>
      <c r="I136" s="1">
        <v>4</v>
      </c>
    </row>
    <row r="137" spans="1:9" x14ac:dyDescent="0.75">
      <c r="A137" s="2">
        <v>45886.54310185185</v>
      </c>
      <c r="B137" s="1" t="s">
        <v>9</v>
      </c>
      <c r="C137" s="1">
        <v>3</v>
      </c>
      <c r="D137" s="1">
        <v>2</v>
      </c>
      <c r="E137" s="1" t="s">
        <v>13</v>
      </c>
      <c r="F137" s="1" t="s">
        <v>11</v>
      </c>
      <c r="G137" s="1" t="s">
        <v>12</v>
      </c>
      <c r="H137" s="1">
        <v>3</v>
      </c>
      <c r="I137" s="1">
        <v>4</v>
      </c>
    </row>
    <row r="138" spans="1:9" x14ac:dyDescent="0.75">
      <c r="A138" s="2">
        <v>45887.60833333333</v>
      </c>
      <c r="B138" s="1" t="s">
        <v>9</v>
      </c>
      <c r="C138" s="1">
        <v>4</v>
      </c>
      <c r="D138" s="1">
        <v>2</v>
      </c>
      <c r="E138" s="1" t="s">
        <v>15</v>
      </c>
      <c r="F138" s="1" t="s">
        <v>11</v>
      </c>
      <c r="G138" s="1" t="s">
        <v>12</v>
      </c>
      <c r="H138" s="1">
        <v>3</v>
      </c>
      <c r="I138" s="1">
        <v>3</v>
      </c>
    </row>
    <row r="139" spans="1:9" x14ac:dyDescent="0.75">
      <c r="A139" s="2">
        <v>45887.717962962961</v>
      </c>
      <c r="B139" s="1" t="s">
        <v>9</v>
      </c>
      <c r="C139" s="1">
        <v>3</v>
      </c>
      <c r="D139" s="1">
        <v>3</v>
      </c>
      <c r="E139" s="1" t="s">
        <v>13</v>
      </c>
      <c r="F139" s="1" t="s">
        <v>11</v>
      </c>
      <c r="G139" s="1" t="s">
        <v>12</v>
      </c>
      <c r="H139" s="1">
        <v>2</v>
      </c>
      <c r="I139" s="1">
        <v>4</v>
      </c>
    </row>
    <row r="140" spans="1:9" x14ac:dyDescent="0.75">
      <c r="A140" s="2">
        <v>45887.797824074078</v>
      </c>
      <c r="B140" s="1" t="s">
        <v>9</v>
      </c>
      <c r="C140" s="1">
        <v>4</v>
      </c>
      <c r="D140" s="1">
        <v>5</v>
      </c>
      <c r="E140" s="1" t="s">
        <v>15</v>
      </c>
      <c r="F140" s="1" t="s">
        <v>14</v>
      </c>
      <c r="G140" s="1" t="s">
        <v>12</v>
      </c>
      <c r="H140" s="1">
        <v>5</v>
      </c>
      <c r="I140" s="1">
        <v>5</v>
      </c>
    </row>
    <row r="141" spans="1:9" x14ac:dyDescent="0.75">
      <c r="A141" s="2">
        <v>45887.944594907407</v>
      </c>
      <c r="B141" s="1" t="s">
        <v>9</v>
      </c>
      <c r="C141" s="1">
        <v>4</v>
      </c>
      <c r="D141" s="1">
        <v>2</v>
      </c>
      <c r="E141" s="1" t="s">
        <v>13</v>
      </c>
      <c r="F141" s="1" t="s">
        <v>14</v>
      </c>
      <c r="G141" s="1" t="s">
        <v>12</v>
      </c>
      <c r="H141" s="1">
        <v>4</v>
      </c>
      <c r="I141" s="1">
        <v>4</v>
      </c>
    </row>
    <row r="143" spans="1:9" x14ac:dyDescent="0.75">
      <c r="B143" s="1" t="s">
        <v>33</v>
      </c>
      <c r="C143" s="1">
        <f>AVERAGE(C2:C141)</f>
        <v>3.0714285714285716</v>
      </c>
      <c r="D143" s="1">
        <f>AVERAGE(D2:D141)</f>
        <v>3.1785714285714284</v>
      </c>
      <c r="H143" s="1">
        <f>AVERAGE(H2:H141)</f>
        <v>3.4928571428571429</v>
      </c>
      <c r="I143" s="1">
        <f>AVERAGE(I2:I141)</f>
        <v>3.7214285714285715</v>
      </c>
    </row>
    <row r="144" spans="1:9" x14ac:dyDescent="0.75">
      <c r="B144" s="1" t="s">
        <v>34</v>
      </c>
      <c r="C144" s="1">
        <f>SUM(C2:C141)</f>
        <v>430</v>
      </c>
      <c r="D144" s="1">
        <f>SUM(D2:D141)</f>
        <v>445</v>
      </c>
      <c r="H144" s="1">
        <f>SUM(H2:H141)</f>
        <v>489</v>
      </c>
      <c r="I144" s="1">
        <f>SUM(I2:I141)</f>
        <v>521</v>
      </c>
    </row>
    <row r="146" spans="2:2" x14ac:dyDescent="0.75">
      <c r="B146" s="1">
        <f>COUNTIF(B2:B141,"undergraduate")</f>
        <v>100</v>
      </c>
    </row>
    <row r="147" spans="2:2" x14ac:dyDescent="0.75">
      <c r="B147" s="1">
        <f>COUNTIF(B2:B141,"post-graduate")</f>
        <v>11</v>
      </c>
    </row>
    <row r="148" spans="2:2" x14ac:dyDescent="0.75">
      <c r="B148" s="1">
        <f>COUNTIF(B3:B142,"high school")</f>
        <v>29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948AA-9304-42C7-BC17-C0C53D6A044B}">
  <dimension ref="A1:D5"/>
  <sheetViews>
    <sheetView topLeftCell="A7" workbookViewId="0">
      <selection activeCell="I4" sqref="I4"/>
    </sheetView>
  </sheetViews>
  <sheetFormatPr defaultRowHeight="14.75" x14ac:dyDescent="0.75"/>
  <cols>
    <col min="1" max="1" width="12.40625" bestFit="1" customWidth="1"/>
    <col min="2" max="2" width="18.58984375" bestFit="1" customWidth="1"/>
    <col min="3" max="3" width="37.26953125" bestFit="1" customWidth="1"/>
    <col min="4" max="4" width="34.08984375" bestFit="1" customWidth="1"/>
  </cols>
  <sheetData>
    <row r="1" spans="1:4" x14ac:dyDescent="0.75">
      <c r="A1" s="16" t="s">
        <v>81</v>
      </c>
      <c r="B1" t="s">
        <v>80</v>
      </c>
      <c r="C1" t="s">
        <v>83</v>
      </c>
      <c r="D1" t="s">
        <v>84</v>
      </c>
    </row>
    <row r="2" spans="1:4" x14ac:dyDescent="0.75">
      <c r="A2" s="17" t="s">
        <v>15</v>
      </c>
      <c r="B2">
        <v>22</v>
      </c>
      <c r="C2">
        <v>20</v>
      </c>
      <c r="D2">
        <v>30</v>
      </c>
    </row>
    <row r="3" spans="1:4" x14ac:dyDescent="0.75">
      <c r="A3" s="17" t="s">
        <v>10</v>
      </c>
      <c r="B3">
        <v>4</v>
      </c>
      <c r="C3">
        <v>6</v>
      </c>
      <c r="D3">
        <v>7</v>
      </c>
    </row>
    <row r="4" spans="1:4" x14ac:dyDescent="0.75">
      <c r="A4" s="17" t="s">
        <v>13</v>
      </c>
      <c r="B4">
        <v>29</v>
      </c>
      <c r="C4">
        <v>35</v>
      </c>
      <c r="D4">
        <v>40</v>
      </c>
    </row>
    <row r="5" spans="1:4" x14ac:dyDescent="0.75">
      <c r="A5" s="17" t="s">
        <v>82</v>
      </c>
      <c r="B5">
        <v>55</v>
      </c>
      <c r="C5">
        <v>61</v>
      </c>
      <c r="D5">
        <v>77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72E5-7CC2-4F32-B8C3-E8BFCD4529E7}">
  <dimension ref="B2:G9"/>
  <sheetViews>
    <sheetView workbookViewId="0">
      <selection activeCell="D14" sqref="D14"/>
    </sheetView>
  </sheetViews>
  <sheetFormatPr defaultRowHeight="14.75" x14ac:dyDescent="0.75"/>
  <cols>
    <col min="3" max="3" width="23.76953125" customWidth="1"/>
    <col min="4" max="4" width="22.54296875" customWidth="1"/>
    <col min="5" max="5" width="27.36328125" customWidth="1"/>
  </cols>
  <sheetData>
    <row r="2" spans="2:7" x14ac:dyDescent="0.75">
      <c r="B2" s="17" t="s">
        <v>15</v>
      </c>
    </row>
    <row r="3" spans="2:7" x14ac:dyDescent="0.75">
      <c r="B3" s="17" t="s">
        <v>10</v>
      </c>
    </row>
    <row r="4" spans="2:7" x14ac:dyDescent="0.75">
      <c r="B4" s="17" t="s">
        <v>13</v>
      </c>
    </row>
    <row r="5" spans="2:7" x14ac:dyDescent="0.75">
      <c r="C5" t="s">
        <v>85</v>
      </c>
      <c r="D5" t="s">
        <v>15</v>
      </c>
    </row>
    <row r="6" spans="2:7" ht="29.5" x14ac:dyDescent="0.75">
      <c r="B6" s="1"/>
      <c r="C6" s="1" t="s">
        <v>86</v>
      </c>
      <c r="D6" s="1" t="s">
        <v>87</v>
      </c>
      <c r="E6" s="1" t="s">
        <v>88</v>
      </c>
      <c r="F6" s="1"/>
      <c r="G6" s="1"/>
    </row>
    <row r="7" spans="2:7" x14ac:dyDescent="0.75">
      <c r="C7">
        <f>AVERAGEIF('Raw data'!E:E,app!D5,'Raw data'!C:C)</f>
        <v>3.5789473684210527</v>
      </c>
      <c r="D7">
        <f>AVERAGEIF('Raw data'!E:E,app!D5,'Raw data'!I:I)</f>
        <v>4.0263157894736841</v>
      </c>
      <c r="E7">
        <f>AVERAGEIF('Raw data'!E:E,app!D5,'Raw data'!D:D)</f>
        <v>3.4210526315789473</v>
      </c>
    </row>
    <row r="9" spans="2:7" x14ac:dyDescent="0.75">
      <c r="C9" s="20" t="s">
        <v>89</v>
      </c>
      <c r="D9" s="20"/>
      <c r="E9" s="20"/>
    </row>
  </sheetData>
  <mergeCells count="1">
    <mergeCell ref="C9:E9"/>
  </mergeCells>
  <dataValidations count="1">
    <dataValidation type="list" allowBlank="1" showInputMessage="1" showErrorMessage="1" sqref="D5" xr:uid="{2044E495-49A7-416B-A544-0AB4567D4F20}">
      <formula1>$B$2:$B$4</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academic Stress level - maintai</vt:lpstr>
      <vt:lpstr>Insight </vt:lpstr>
      <vt:lpstr>Dashbord</vt:lpstr>
      <vt:lpstr>Date format</vt:lpstr>
      <vt:lpstr>Raw data</vt:lpstr>
      <vt:lpstr>Sheet1</vt:lpstr>
      <vt:lpstr>app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Saurabh wargad</dc:creator>
  <cp:lastModifiedBy>Saurabh wargad</cp:lastModifiedBy>
  <dcterms:created xsi:type="dcterms:W3CDTF">2025-09-11T06:26:30Z</dcterms:created>
  <dcterms:modified xsi:type="dcterms:W3CDTF">2025-09-12T11:26:16Z</dcterms:modified>
</cp:coreProperties>
</file>